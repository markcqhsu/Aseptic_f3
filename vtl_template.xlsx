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20" yWindow="1920" windowWidth="29040" windowHeight="15840" tabRatio="599" firstSheet="0" activeTab="0" autoFilterDateGrouping="1"/>
  </bookViews>
  <sheets>
    <sheet xmlns:r="http://schemas.openxmlformats.org/officeDocument/2006/relationships" name="2026.5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0_ ;[Red]\-0\ "/>
    <numFmt numFmtId="166" formatCode="m&quot;月&quot;d&quot;日&quot;"/>
  </numFmts>
  <fonts count="37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b val="1"/>
      <sz val="12"/>
    </font>
    <font>
      <name val="新細明體"/>
      <charset val="136"/>
      <family val="1"/>
      <sz val="14"/>
    </font>
    <font>
      <name val="微軟正黑體"/>
      <charset val="136"/>
      <family val="2"/>
      <b val="1"/>
      <sz val="16"/>
    </font>
    <font>
      <name val="微軟正黑體"/>
      <charset val="136"/>
      <family val="2"/>
      <b val="1"/>
      <sz val="14"/>
    </font>
    <font>
      <name val="微軟正黑體"/>
      <charset val="136"/>
      <family val="2"/>
      <sz val="12"/>
    </font>
    <font>
      <name val="微軟正黑體"/>
      <charset val="136"/>
      <family val="2"/>
      <sz val="10"/>
    </font>
    <font>
      <name val="微軟正黑體"/>
      <charset val="136"/>
      <family val="2"/>
      <b val="1"/>
      <sz val="12"/>
    </font>
    <font>
      <name val="微軟正黑體"/>
      <charset val="136"/>
      <family val="2"/>
      <b val="1"/>
      <sz val="24"/>
    </font>
    <font>
      <name val="微軟正黑體"/>
      <charset val="136"/>
      <family val="2"/>
      <b val="1"/>
      <color theme="0"/>
      <sz val="12"/>
    </font>
    <font>
      <name val="微軟正黑體"/>
      <charset val="136"/>
      <family val="2"/>
      <color rgb="FFFF0000"/>
      <sz val="12"/>
    </font>
    <font>
      <name val="標楷體"/>
      <charset val="136"/>
      <family val="4"/>
      <color theme="1"/>
      <sz val="12"/>
    </font>
    <font>
      <name val="微軟正黑體"/>
      <charset val="136"/>
      <family val="2"/>
      <color theme="9" tint="-0.249977111117893"/>
      <sz val="12"/>
    </font>
    <font>
      <name val="Arial"/>
      <family val="2"/>
      <color rgb="FF0000FF"/>
      <sz val="14"/>
    </font>
    <font>
      <name val="Arial"/>
      <family val="2"/>
      <color rgb="FF008000"/>
      <sz val="14"/>
    </font>
    <font>
      <name val="Arial"/>
      <family val="2"/>
      <color indexed="10"/>
      <sz val="14"/>
    </font>
    <font>
      <name val="新細明體"/>
      <charset val="136"/>
      <family val="1"/>
      <color theme="0"/>
      <sz val="12"/>
    </font>
    <font>
      <name val="Arial"/>
      <family val="2"/>
      <sz val="14"/>
    </font>
    <font>
      <name val="Arial"/>
      <family val="2"/>
      <sz val="10"/>
    </font>
    <font>
      <name val="微軟正黑體"/>
      <charset val="136"/>
      <family val="2"/>
      <sz val="11"/>
    </font>
    <font>
      <name val="微軟正黑體"/>
      <charset val="136"/>
      <family val="2"/>
      <color rgb="FF00B0F0"/>
      <sz val="12"/>
    </font>
    <font>
      <name val="細明體"/>
      <charset val="136"/>
      <family val="3"/>
      <b val="1"/>
      <color indexed="81"/>
      <sz val="9"/>
    </font>
    <font>
      <name val="微軟正黑體"/>
      <charset val="136"/>
      <family val="2"/>
      <b val="1"/>
      <color theme="0"/>
      <sz val="14"/>
    </font>
    <font>
      <name val="新細明體"/>
      <charset val="136"/>
      <family val="1"/>
      <b val="1"/>
      <color rgb="FFFF0000"/>
      <sz val="12"/>
    </font>
    <font>
      <name val="微軟正黑體"/>
      <charset val="136"/>
      <family val="2"/>
      <color indexed="10"/>
      <sz val="11"/>
    </font>
    <font>
      <name val="微軟正黑體"/>
      <charset val="136"/>
      <family val="2"/>
      <b val="1"/>
      <color rgb="FFFF0000"/>
      <sz val="11"/>
    </font>
    <font>
      <name val="微軟正黑體"/>
      <charset val="136"/>
      <family val="2"/>
      <b val="1"/>
      <color rgb="FF7030A0"/>
      <sz val="11"/>
    </font>
    <font>
      <name val="微軟正黑體"/>
      <charset val="136"/>
      <family val="2"/>
      <color rgb="FF0070C0"/>
      <sz val="11"/>
    </font>
    <font>
      <name val="微軟正黑體"/>
      <charset val="136"/>
      <family val="2"/>
      <b val="1"/>
      <color theme="2" tint="-0.749992370372631"/>
      <sz val="11"/>
    </font>
    <font>
      <name val="微軟正黑體"/>
      <charset val="136"/>
      <family val="2"/>
      <b val="1"/>
      <color theme="9" tint="-0.249977111117893"/>
      <sz val="11"/>
    </font>
    <font>
      <name val="微軟正黑體"/>
      <charset val="136"/>
      <family val="2"/>
      <color rgb="FFFF0000"/>
      <sz val="11"/>
    </font>
    <font>
      <name val="微軟正黑體"/>
      <charset val="136"/>
      <family val="2"/>
      <color rgb="FF00B05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sz val="11"/>
    </font>
    <font>
      <name val="細明體"/>
      <charset val="136"/>
      <family val="3"/>
      <b val="1"/>
      <color rgb="FF000000"/>
      <sz val="9"/>
    </font>
  </fonts>
  <fills count="23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1" fillId="0" borderId="0"/>
    <xf numFmtId="0" fontId="1" fillId="0" borderId="0"/>
    <xf numFmtId="0" fontId="20" fillId="0" borderId="0"/>
  </cellStyleXfs>
  <cellXfs count="17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 shrinkToFit="1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165" fontId="7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 wrapText="1" shrinkToFit="1"/>
    </xf>
    <xf numFmtId="0" fontId="13" fillId="0" borderId="0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 wrapText="1" shrinkToFit="1"/>
    </xf>
    <xf numFmtId="0" fontId="7" fillId="4" borderId="5" applyAlignment="1" pivotButton="0" quotePrefix="0" xfId="0">
      <alignment horizontal="center" vertical="center" wrapText="1" shrinkToFit="1"/>
    </xf>
    <xf numFmtId="0" fontId="7" fillId="0" borderId="6" applyAlignment="1" pivotButton="0" quotePrefix="0" xfId="0">
      <alignment horizontal="center" vertical="center"/>
    </xf>
    <xf numFmtId="0" fontId="7" fillId="2" borderId="0" pivotButton="0" quotePrefix="0" xfId="0"/>
    <xf numFmtId="0" fontId="6" fillId="0" borderId="0" applyAlignment="1" pivotButton="0" quotePrefix="0" xfId="0">
      <alignment horizontal="right"/>
    </xf>
    <xf numFmtId="165" fontId="15" fillId="0" borderId="6" applyAlignment="1" pivotButton="0" quotePrefix="0" xfId="0">
      <alignment horizontal="center" shrinkToFit="1"/>
    </xf>
    <xf numFmtId="0" fontId="16" fillId="0" borderId="6" applyAlignment="1" pivotButton="0" quotePrefix="0" xfId="0">
      <alignment horizontal="center" shrinkToFit="1"/>
    </xf>
    <xf numFmtId="0" fontId="17" fillId="0" borderId="6" applyAlignment="1" pivotButton="0" quotePrefix="0" xfId="0">
      <alignment horizontal="center" shrinkToFit="1"/>
    </xf>
    <xf numFmtId="0" fontId="18" fillId="0" borderId="0" applyAlignment="1" pivotButton="0" quotePrefix="0" xfId="0">
      <alignment horizontal="center" vertical="center"/>
    </xf>
    <xf numFmtId="165" fontId="19" fillId="0" borderId="6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left"/>
    </xf>
    <xf numFmtId="0" fontId="7" fillId="8" borderId="5" applyAlignment="1" pivotButton="0" quotePrefix="0" xfId="0">
      <alignment horizontal="center" vertical="center" wrapText="1" shrinkToFit="1"/>
    </xf>
    <xf numFmtId="0" fontId="7" fillId="8" borderId="25" applyAlignment="1" pivotButton="0" quotePrefix="0" xfId="0">
      <alignment horizontal="center" vertical="center" wrapText="1" shrinkToFit="1"/>
    </xf>
    <xf numFmtId="0" fontId="8" fillId="0" borderId="5" applyAlignment="1" pivotButton="0" quotePrefix="0" xfId="0">
      <alignment horizontal="center" vertical="center" wrapText="1" shrinkToFit="1"/>
    </xf>
    <xf numFmtId="164" fontId="9" fillId="4" borderId="28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 wrapText="1" shrinkToFit="1"/>
    </xf>
    <xf numFmtId="0" fontId="22" fillId="0" borderId="5" applyAlignment="1" pivotButton="0" quotePrefix="0" xfId="0">
      <alignment horizontal="center" vertical="center" wrapText="1" shrinkToFit="1"/>
    </xf>
    <xf numFmtId="0" fontId="8" fillId="0" borderId="18" applyAlignment="1" pivotButton="0" quotePrefix="0" xfId="0">
      <alignment horizontal="center" vertical="center" wrapText="1" shrinkToFit="1"/>
    </xf>
    <xf numFmtId="0" fontId="7" fillId="0" borderId="18" applyAlignment="1" pivotButton="0" quotePrefix="0" xfId="0">
      <alignment horizontal="center" vertical="center" wrapText="1" shrinkToFit="1"/>
    </xf>
    <xf numFmtId="0" fontId="6" fillId="4" borderId="22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 wrapText="1" shrinkToFit="1"/>
    </xf>
    <xf numFmtId="0" fontId="7" fillId="0" borderId="19" applyAlignment="1" pivotButton="0" quotePrefix="0" xfId="0">
      <alignment horizontal="left" wrapText="1"/>
    </xf>
    <xf numFmtId="0" fontId="7" fillId="0" borderId="19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0" fontId="6" fillId="10" borderId="10" applyAlignment="1" pivotButton="0" quotePrefix="0" xfId="0">
      <alignment horizontal="center" vertical="center" wrapText="1" shrinkToFit="1"/>
    </xf>
    <xf numFmtId="0" fontId="6" fillId="11" borderId="10" applyAlignment="1" pivotButton="0" quotePrefix="0" xfId="0">
      <alignment horizontal="center" vertical="center" wrapText="1" shrinkToFit="1"/>
    </xf>
    <xf numFmtId="0" fontId="6" fillId="14" borderId="10" applyAlignment="1" pivotButton="0" quotePrefix="0" xfId="0">
      <alignment horizontal="center" vertical="center" wrapText="1" shrinkToFit="1"/>
    </xf>
    <xf numFmtId="0" fontId="24" fillId="16" borderId="10" applyAlignment="1" pivotButton="0" quotePrefix="0" xfId="1">
      <alignment horizontal="center" vertical="center" wrapText="1" shrinkToFit="1"/>
    </xf>
    <xf numFmtId="165" fontId="7" fillId="2" borderId="12" applyAlignment="1" pivotButton="0" quotePrefix="0" xfId="0">
      <alignment horizontal="center" vertical="center"/>
    </xf>
    <xf numFmtId="165" fontId="7" fillId="2" borderId="13" applyAlignment="1" pivotButton="0" quotePrefix="0" xfId="0">
      <alignment horizontal="center" vertical="center"/>
    </xf>
    <xf numFmtId="166" fontId="11" fillId="5" borderId="2" applyAlignment="1" pivotButton="0" quotePrefix="0" xfId="0">
      <alignment horizontal="center" vertical="center"/>
    </xf>
    <xf numFmtId="165" fontId="7" fillId="2" borderId="6" applyAlignment="1" pivotButton="0" quotePrefix="0" xfId="0">
      <alignment horizontal="center"/>
    </xf>
    <xf numFmtId="165" fontId="7" fillId="2" borderId="15" applyAlignment="1" pivotButton="0" quotePrefix="0" xfId="0">
      <alignment horizontal="center"/>
    </xf>
    <xf numFmtId="165" fontId="7" fillId="0" borderId="15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0" fontId="7" fillId="4" borderId="4" applyAlignment="1" pivotButton="0" quotePrefix="0" xfId="0">
      <alignment horizontal="center" vertical="center" wrapText="1" shrinkToFit="1"/>
    </xf>
    <xf numFmtId="0" fontId="21" fillId="10" borderId="4" applyAlignment="1" pivotButton="0" quotePrefix="0" xfId="0">
      <alignment horizontal="center" vertical="center" wrapText="1" shrinkToFit="1"/>
    </xf>
    <xf numFmtId="0" fontId="21" fillId="10" borderId="5" applyAlignment="1" pivotButton="0" quotePrefix="0" xfId="0">
      <alignment horizontal="center" vertical="center" wrapText="1" shrinkToFit="1"/>
    </xf>
    <xf numFmtId="0" fontId="21" fillId="11" borderId="5" applyAlignment="1" pivotButton="0" quotePrefix="0" xfId="0">
      <alignment horizontal="center" vertical="center" wrapText="1" shrinkToFit="1"/>
    </xf>
    <xf numFmtId="0" fontId="21" fillId="14" borderId="5" applyAlignment="1" pivotButton="0" quotePrefix="0" xfId="0">
      <alignment horizontal="center" vertical="center" wrapText="1" shrinkToFit="1"/>
    </xf>
    <xf numFmtId="0" fontId="21" fillId="15" borderId="5" applyAlignment="1" pivotButton="0" quotePrefix="0" xfId="0">
      <alignment horizontal="center" vertical="center" wrapText="1" shrinkToFit="1"/>
    </xf>
    <xf numFmtId="0" fontId="21" fillId="16" borderId="5" applyAlignment="1" pivotButton="0" quotePrefix="0" xfId="1">
      <alignment horizontal="center" vertical="center" wrapText="1" shrinkToFit="1"/>
    </xf>
    <xf numFmtId="0" fontId="30" fillId="0" borderId="5" applyAlignment="1" pivotButton="0" quotePrefix="0" xfId="0">
      <alignment horizontal="center" vertical="center" wrapText="1" shrinkToFit="1"/>
    </xf>
    <xf numFmtId="0" fontId="31" fillId="0" borderId="5" applyAlignment="1" pivotButton="0" quotePrefix="0" xfId="0">
      <alignment horizontal="center" vertical="center" wrapText="1" shrinkToFit="1"/>
    </xf>
    <xf numFmtId="14" fontId="7" fillId="0" borderId="33" applyAlignment="1" pivotButton="0" quotePrefix="0" xfId="0">
      <alignment horizontal="center" vertical="center"/>
    </xf>
    <xf numFmtId="0" fontId="7" fillId="17" borderId="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33" fillId="0" borderId="18" applyAlignment="1" pivotButton="0" quotePrefix="0" xfId="0">
      <alignment horizontal="center" vertical="center" wrapText="1" shrinkToFit="1"/>
    </xf>
    <xf numFmtId="0" fontId="7" fillId="0" borderId="32" applyAlignment="1" pivotButton="0" quotePrefix="0" xfId="0">
      <alignment horizontal="center" vertical="center"/>
    </xf>
    <xf numFmtId="0" fontId="7" fillId="18" borderId="6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33" fillId="19" borderId="18" applyAlignment="1" pivotButton="0" quotePrefix="0" xfId="0">
      <alignment horizontal="center" vertical="center" wrapText="1" shrinkToFit="1"/>
    </xf>
    <xf numFmtId="0" fontId="7" fillId="19" borderId="6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0" borderId="32" applyAlignment="1" pivotButton="0" quotePrefix="0" xfId="0">
      <alignment horizontal="center" vertical="center"/>
    </xf>
    <xf numFmtId="165" fontId="7" fillId="18" borderId="6" applyAlignment="1" pivotButton="0" quotePrefix="0" xfId="0">
      <alignment horizontal="center" vertical="center"/>
    </xf>
    <xf numFmtId="0" fontId="7" fillId="18" borderId="18" applyAlignment="1" pivotButton="0" quotePrefix="0" xfId="0">
      <alignment horizontal="center" vertical="center" wrapText="1" shrinkToFit="1"/>
    </xf>
    <xf numFmtId="0" fontId="7" fillId="19" borderId="18" applyAlignment="1" pivotButton="0" quotePrefix="0" xfId="0">
      <alignment horizontal="center" vertical="center" wrapText="1" shrinkToFit="1"/>
    </xf>
    <xf numFmtId="0" fontId="6" fillId="15" borderId="10" applyAlignment="1" pivotButton="0" quotePrefix="0" xfId="0">
      <alignment horizontal="center" vertical="center" wrapText="1" shrinkToFit="1"/>
    </xf>
    <xf numFmtId="165" fontId="11" fillId="5" borderId="16" applyAlignment="1" pivotButton="0" quotePrefix="0" xfId="0">
      <alignment vertical="center"/>
    </xf>
    <xf numFmtId="0" fontId="21" fillId="21" borderId="5" applyAlignment="1" pivotButton="0" quotePrefix="0" xfId="0">
      <alignment horizontal="center" vertical="center" wrapText="1" shrinkToFit="1"/>
    </xf>
    <xf numFmtId="165" fontId="11" fillId="5" borderId="16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165" fontId="7" fillId="20" borderId="6" applyAlignment="1" pivotButton="0" quotePrefix="0" xfId="0">
      <alignment horizontal="center" vertical="center"/>
    </xf>
    <xf numFmtId="0" fontId="21" fillId="22" borderId="5" applyAlignment="1" pivotButton="0" quotePrefix="0" xfId="0">
      <alignment horizontal="center" vertical="center" wrapText="1" shrinkToFit="1"/>
    </xf>
    <xf numFmtId="0" fontId="34" fillId="0" borderId="18" applyAlignment="1" pivotButton="0" quotePrefix="0" xfId="0">
      <alignment horizontal="center" vertical="center" wrapText="1" shrinkToFit="1"/>
    </xf>
    <xf numFmtId="0" fontId="7" fillId="8" borderId="36" applyAlignment="1" pivotButton="0" quotePrefix="0" xfId="0">
      <alignment horizontal="center" vertical="center"/>
    </xf>
    <xf numFmtId="0" fontId="6" fillId="21" borderId="10" applyAlignment="1" pivotButton="0" quotePrefix="0" xfId="0">
      <alignment horizontal="center" vertical="center" wrapText="1" shrinkToFit="1"/>
    </xf>
    <xf numFmtId="0" fontId="6" fillId="22" borderId="11" applyAlignment="1" pivotButton="0" quotePrefix="0" xfId="0">
      <alignment horizontal="center" vertical="center" shrinkToFit="1"/>
    </xf>
    <xf numFmtId="165" fontId="7" fillId="9" borderId="6" applyAlignment="1" pivotButton="0" quotePrefix="0" xfId="0">
      <alignment horizontal="center" vertical="center"/>
    </xf>
    <xf numFmtId="166" fontId="9" fillId="6" borderId="19" applyAlignment="1" pivotButton="0" quotePrefix="0" xfId="0">
      <alignment horizontal="center" vertical="center"/>
    </xf>
    <xf numFmtId="0" fontId="9" fillId="6" borderId="14" applyAlignment="1" pivotButton="0" quotePrefix="0" xfId="0">
      <alignment horizontal="center" vertical="center"/>
    </xf>
    <xf numFmtId="0" fontId="9" fillId="6" borderId="26" applyAlignment="1" pivotButton="0" quotePrefix="0" xfId="0">
      <alignment horizontal="center" vertical="center"/>
    </xf>
    <xf numFmtId="0" fontId="9" fillId="6" borderId="37" applyAlignment="1" pivotButton="0" quotePrefix="0" xfId="0">
      <alignment horizontal="center" vertical="center"/>
    </xf>
    <xf numFmtId="165" fontId="9" fillId="6" borderId="14" applyAlignment="1" pivotButton="0" quotePrefix="0" xfId="0">
      <alignment horizontal="center" vertical="center"/>
    </xf>
    <xf numFmtId="165" fontId="9" fillId="7" borderId="14" applyAlignment="1" pivotButton="0" quotePrefix="0" xfId="0">
      <alignment horizontal="center" vertical="center"/>
    </xf>
    <xf numFmtId="164" fontId="9" fillId="4" borderId="38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 wrapText="1" shrinkToFit="1"/>
    </xf>
    <xf numFmtId="166" fontId="7" fillId="9" borderId="32" applyAlignment="1" pivotButton="0" quotePrefix="0" xfId="0">
      <alignment horizontal="center" vertical="center"/>
    </xf>
    <xf numFmtId="165" fontId="11" fillId="5" borderId="16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 shrinkToFit="1"/>
    </xf>
    <xf numFmtId="0" fontId="7" fillId="8" borderId="12" applyAlignment="1" pivotButton="0" quotePrefix="0" xfId="0">
      <alignment horizontal="center" vertical="center" wrapText="1" shrinkToFit="1"/>
    </xf>
    <xf numFmtId="0" fontId="7" fillId="8" borderId="20" applyAlignment="1" pivotButton="0" quotePrefix="0" xfId="0">
      <alignment horizontal="center" vertical="center" wrapText="1" shrinkToFit="1"/>
    </xf>
    <xf numFmtId="0" fontId="7" fillId="8" borderId="14" applyAlignment="1" pivotButton="0" quotePrefix="0" xfId="0">
      <alignment horizontal="center" vertical="center" wrapText="1" shrinkToFit="1"/>
    </xf>
    <xf numFmtId="0" fontId="3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4" fontId="11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7" fillId="0" borderId="29" applyAlignment="1" pivotButton="0" quotePrefix="0" xfId="0">
      <alignment horizontal="right" vertical="top" wrapText="1"/>
    </xf>
    <xf numFmtId="0" fontId="7" fillId="0" borderId="31" applyAlignment="1" pivotButton="0" quotePrefix="0" xfId="0">
      <alignment horizontal="right" vertical="top" wrapText="1"/>
    </xf>
    <xf numFmtId="0" fontId="6" fillId="12" borderId="18" applyAlignment="1" pivotButton="0" quotePrefix="0" xfId="0">
      <alignment horizontal="center" vertical="center"/>
    </xf>
    <xf numFmtId="0" fontId="6" fillId="12" borderId="16" applyAlignment="1" pivotButton="0" quotePrefix="0" xfId="0">
      <alignment horizontal="center" vertical="center"/>
    </xf>
    <xf numFmtId="165" fontId="6" fillId="3" borderId="30" applyAlignment="1" pivotButton="0" quotePrefix="0" xfId="0">
      <alignment horizontal="center" vertical="center"/>
    </xf>
    <xf numFmtId="165" fontId="6" fillId="3" borderId="16" applyAlignment="1" pivotButton="0" quotePrefix="0" xfId="0">
      <alignment horizontal="center" vertical="center"/>
    </xf>
    <xf numFmtId="165" fontId="6" fillId="3" borderId="35" applyAlignment="1" pivotButton="0" quotePrefix="0" xfId="0">
      <alignment horizontal="center" vertical="center"/>
    </xf>
    <xf numFmtId="0" fontId="6" fillId="13" borderId="17" applyAlignment="1" pivotButton="0" quotePrefix="0" xfId="0">
      <alignment horizontal="center" vertical="center"/>
    </xf>
    <xf numFmtId="0" fontId="6" fillId="13" borderId="16" applyAlignment="1" pivotButton="0" quotePrefix="0" xfId="0">
      <alignment horizontal="center" vertical="center"/>
    </xf>
    <xf numFmtId="0" fontId="10" fillId="2" borderId="22" applyAlignment="1" pivotButton="0" quotePrefix="0" xfId="0">
      <alignment horizontal="center" vertical="center"/>
    </xf>
    <xf numFmtId="0" fontId="10" fillId="2" borderId="23" applyAlignment="1" pivotButton="0" quotePrefix="0" xfId="0">
      <alignment horizontal="center" vertical="center"/>
    </xf>
    <xf numFmtId="0" fontId="10" fillId="2" borderId="24" applyAlignment="1" pivotButton="0" quotePrefix="0" xfId="0">
      <alignment horizontal="center" vertical="center"/>
    </xf>
    <xf numFmtId="0" fontId="7" fillId="8" borderId="27" applyAlignment="1" pivotButton="0" quotePrefix="0" xfId="0">
      <alignment horizontal="center" vertical="center" shrinkToFit="1"/>
    </xf>
    <xf numFmtId="0" fontId="7" fillId="8" borderId="26" applyAlignment="1" pivotButton="0" quotePrefix="0" xfId="0">
      <alignment horizontal="center" vertical="center" shrinkToFit="1"/>
    </xf>
    <xf numFmtId="14" fontId="7" fillId="9" borderId="33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0" fontId="7" fillId="9" borderId="34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  <xf numFmtId="0" fontId="7" fillId="9" borderId="36" applyAlignment="1" pivotButton="0" quotePrefix="0" xfId="0">
      <alignment horizontal="center" vertical="center"/>
    </xf>
    <xf numFmtId="164" fontId="9" fillId="9" borderId="28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6" pivotButton="0" quotePrefix="0" xfId="0"/>
    <xf numFmtId="165" fontId="6" fillId="3" borderId="40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1" pivotButton="0" quotePrefix="0" xfId="0"/>
    <xf numFmtId="0" fontId="10" fillId="2" borderId="42" applyAlignment="1" pivotButton="0" quotePrefix="0" xfId="0">
      <alignment horizontal="center" vertical="center"/>
    </xf>
    <xf numFmtId="0" fontId="0" fillId="0" borderId="23" pivotButton="0" quotePrefix="0" xfId="0"/>
    <xf numFmtId="0" fontId="7" fillId="8" borderId="25" applyAlignment="1" pivotButton="0" quotePrefix="0" xfId="0">
      <alignment horizontal="center" vertical="center" shrinkToFit="1"/>
    </xf>
    <xf numFmtId="0" fontId="0" fillId="0" borderId="24" pivotButton="0" quotePrefix="0" xfId="0"/>
    <xf numFmtId="0" fontId="0" fillId="0" borderId="14" pivotButton="0" quotePrefix="0" xfId="0"/>
    <xf numFmtId="0" fontId="0" fillId="0" borderId="1" pivotButton="0" quotePrefix="0" xfId="0"/>
    <xf numFmtId="0" fontId="0" fillId="0" borderId="26" pivotButton="0" quotePrefix="0" xfId="0"/>
    <xf numFmtId="165" fontId="7" fillId="9" borderId="1" applyAlignment="1" pivotButton="0" quotePrefix="0" xfId="0">
      <alignment horizontal="center" vertical="center"/>
    </xf>
    <xf numFmtId="165" fontId="7" fillId="9" borderId="6" applyAlignment="1" pivotButton="0" quotePrefix="0" xfId="0">
      <alignment horizontal="center" vertical="center"/>
    </xf>
    <xf numFmtId="164" fontId="9" fillId="9" borderId="28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5" fontId="7" fillId="20" borderId="6" applyAlignment="1" pivotButton="0" quotePrefix="0" xfId="0">
      <alignment horizontal="center" vertical="center"/>
    </xf>
    <xf numFmtId="165" fontId="7" fillId="18" borderId="6" applyAlignment="1" pivotButton="0" quotePrefix="0" xfId="0">
      <alignment horizontal="center" vertical="center"/>
    </xf>
    <xf numFmtId="164" fontId="9" fillId="4" borderId="28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9" fillId="4" borderId="38" applyAlignment="1" pivotButton="0" quotePrefix="0" xfId="0">
      <alignment horizontal="center" vertical="center"/>
    </xf>
    <xf numFmtId="165" fontId="9" fillId="6" borderId="14" applyAlignment="1" pivotButton="0" quotePrefix="0" xfId="0">
      <alignment horizontal="center" vertical="center"/>
    </xf>
    <xf numFmtId="165" fontId="9" fillId="7" borderId="14" applyAlignment="1" pivotButton="0" quotePrefix="0" xfId="0">
      <alignment horizontal="center" vertical="center"/>
    </xf>
    <xf numFmtId="165" fontId="11" fillId="5" borderId="16" applyAlignment="1" pivotButton="0" quotePrefix="0" xfId="0">
      <alignment horizontal="center" vertical="center"/>
    </xf>
    <xf numFmtId="165" fontId="11" fillId="5" borderId="16" applyAlignment="1" pivotButton="0" quotePrefix="0" xfId="0">
      <alignment vertical="center"/>
    </xf>
    <xf numFmtId="164" fontId="11" fillId="5" borderId="16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15" fillId="0" borderId="6" applyAlignment="1" pivotButton="0" quotePrefix="0" xfId="0">
      <alignment horizontal="center" shrinkToFit="1"/>
    </xf>
    <xf numFmtId="165" fontId="0" fillId="0" borderId="0" applyAlignment="1" pivotButton="0" quotePrefix="0" xfId="0">
      <alignment vertical="center"/>
    </xf>
    <xf numFmtId="165" fontId="19" fillId="0" borderId="6" applyAlignment="1" pivotButton="0" quotePrefix="0" xfId="0">
      <alignment horizontal="center" vertical="center" shrinkToFit="1"/>
    </xf>
    <xf numFmtId="0" fontId="0" fillId="0" borderId="47" pivotButton="0" quotePrefix="0" xfId="0"/>
    <xf numFmtId="0" fontId="0" fillId="0" borderId="50" pivotButton="0" quotePrefix="0" xfId="0"/>
    <xf numFmtId="165" fontId="7" fillId="2" borderId="6" applyAlignment="1" pivotButton="0" quotePrefix="0" xfId="0">
      <alignment horizontal="center"/>
    </xf>
    <xf numFmtId="165" fontId="7" fillId="2" borderId="15" applyAlignment="1" pivotButton="0" quotePrefix="0" xfId="0">
      <alignment horizontal="center"/>
    </xf>
    <xf numFmtId="165" fontId="7" fillId="0" borderId="15" applyAlignment="1" pivotButton="0" quotePrefix="0" xfId="0">
      <alignment horizontal="center" vertical="center"/>
    </xf>
    <xf numFmtId="0" fontId="0" fillId="0" borderId="51" pivotButton="0" quotePrefix="0" xfId="0"/>
    <xf numFmtId="165" fontId="7" fillId="2" borderId="12" applyAlignment="1" pivotButton="0" quotePrefix="0" xfId="0">
      <alignment horizontal="center" vertical="center"/>
    </xf>
    <xf numFmtId="165" fontId="7" fillId="2" borderId="13" applyAlignment="1" pivotButton="0" quotePrefix="0" xfId="0">
      <alignment horizontal="center" vertical="center"/>
    </xf>
  </cellXfs>
  <cellStyles count="3">
    <cellStyle name="Normal" xfId="0" builtinId="0"/>
    <cellStyle name="一般 2" xfId="1"/>
    <cellStyle name="一般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宏全無菌飲料三廠-顏苡恩 助專</author>
  </authors>
  <commentList>
    <comment ref="CF7" authorId="0" shapeId="0">
      <text>
        <t>4/28</t>
      </text>
    </comment>
    <comment ref="CH7" authorId="0" shapeId="0">
      <text>
        <t>4/27</t>
      </text>
    </comment>
    <comment ref="CJ7" authorId="0" shapeId="0">
      <text>
        <t>4/27</t>
      </text>
    </comment>
    <comment ref="CK7" authorId="0" shapeId="0">
      <text>
        <t>4/28</t>
      </text>
    </comment>
    <comment ref="CB8" authorId="0" shapeId="0">
      <text>
        <t>4/27</t>
      </text>
    </comment>
    <comment ref="CD8" authorId="0" shapeId="0">
      <text>
        <t>4/26</t>
      </text>
    </comment>
  </commentList>
</comment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0066"/>
    <outlinePr summaryBelow="1" summaryRight="1"/>
    <pageSetUpPr/>
  </sheetPr>
  <dimension ref="A1:DO147"/>
  <sheetViews>
    <sheetView showGridLines="0" tabSelected="1" zoomScale="75" zoomScaleNormal="75" zoomScaleSheetLayoutView="70" zoomScalePageLayoutView="10" workbookViewId="0">
      <pane xSplit="1" ySplit="6" topLeftCell="K7" activePane="bottomRight" state="frozen"/>
      <selection pane="topRight" activeCell="B1" sqref="B1"/>
      <selection pane="bottomLeft" activeCell="A8" sqref="A8"/>
      <selection pane="bottomRight" activeCell="CD20" sqref="CD20"/>
    </sheetView>
  </sheetViews>
  <sheetFormatPr baseColWidth="10" defaultColWidth="9" defaultRowHeight="18"/>
  <cols>
    <col width="15.6640625" customWidth="1" style="4" min="1" max="1"/>
    <col hidden="1" width="10.6640625" customWidth="1" style="12" min="2" max="2"/>
    <col hidden="1" width="10.1640625" customWidth="1" style="12" min="3" max="4"/>
    <col hidden="1" width="10.1640625" customWidth="1" style="4" min="5" max="5"/>
    <col hidden="1" width="10.1640625" customWidth="1" style="12" min="6" max="7"/>
    <col hidden="1" width="10.1640625" customWidth="1" style="4" min="8" max="8"/>
    <col hidden="1" width="10.1640625" customWidth="1" style="12" min="9" max="9"/>
    <col hidden="1" width="10.1640625" customWidth="1" style="4" min="10" max="10"/>
    <col width="29.5" bestFit="1" customWidth="1" style="4" min="11" max="11"/>
    <col hidden="1" width="10.6640625" customWidth="1" style="12" min="12" max="12"/>
    <col hidden="1" width="10.1640625" customWidth="1" style="12" min="13" max="14"/>
    <col hidden="1" width="10.1640625" customWidth="1" style="134" min="15" max="15"/>
    <col hidden="1" width="10.1640625" customWidth="1" style="12" min="16" max="17"/>
    <col hidden="1" width="10.1640625" customWidth="1" style="134" min="18" max="18"/>
    <col hidden="1" width="10.1640625" customWidth="1" style="12" min="19" max="19"/>
    <col hidden="1" width="10.1640625" customWidth="1" style="134" min="20" max="20"/>
    <col width="10.1640625" customWidth="1" style="4" min="21" max="21"/>
    <col hidden="1" width="10.6640625" customWidth="1" style="12" min="22" max="22"/>
    <col hidden="1" width="10.1640625" customWidth="1" style="12" min="23" max="23"/>
    <col hidden="1" width="10.5" customWidth="1" style="134" min="24" max="24"/>
    <col hidden="1" width="10.1640625" customWidth="1" style="12" min="25" max="25"/>
    <col hidden="1" width="10.1640625" customWidth="1" style="134" min="26" max="26"/>
    <col hidden="1" width="10.6640625" customWidth="1" style="12" min="27" max="27"/>
    <col hidden="1" width="10.1640625" customWidth="1" style="4" min="28" max="30"/>
    <col width="10.6640625" customWidth="1" style="12" min="31" max="31"/>
    <col hidden="1" width="10.6640625" customWidth="1" style="12" min="32" max="32"/>
    <col hidden="1" width="10.1640625" customWidth="1" style="12" min="33" max="35"/>
    <col hidden="1" width="10.5" customWidth="1" style="4" min="36" max="36"/>
    <col hidden="1" width="10.6640625" customWidth="1" style="12" min="37" max="37"/>
    <col hidden="1" width="10.5" customWidth="1" style="4" min="38" max="39"/>
    <col hidden="1" width="10.1640625" customWidth="1" style="12" min="40" max="41"/>
    <col hidden="1" width="10.5" customWidth="1" style="4" min="42" max="42"/>
    <col hidden="1" width="10.1640625" customWidth="1" style="12" min="43" max="44"/>
    <col hidden="1" width="10.6640625" customWidth="1" style="12" min="45" max="45"/>
    <col hidden="1" width="10.1640625" customWidth="1" style="12" min="46" max="47"/>
    <col width="10.5" customWidth="1" style="4" min="48" max="48"/>
    <col hidden="1" width="10.5" customWidth="1" style="12" min="49" max="49"/>
    <col width="10.5" customWidth="1" style="4" min="50" max="50"/>
    <col hidden="1" width="10.5" customWidth="1" style="12" min="51" max="51"/>
    <col width="10.5" customWidth="1" style="12" min="52" max="52"/>
    <col hidden="1" width="10.5" customWidth="1" style="12" min="53" max="53"/>
    <col width="10.5" customWidth="1" style="4" min="54" max="54"/>
    <col hidden="1" width="10.5" customWidth="1" style="4" min="55" max="55"/>
    <col hidden="1" width="10.1640625" customWidth="1" style="12" min="56" max="62"/>
    <col width="10.1640625" customWidth="1" style="4" min="63" max="64"/>
    <col hidden="1" width="10.1640625" customWidth="1" style="4" min="65" max="65"/>
    <col width="10.1640625" customWidth="1" style="4" min="66" max="67"/>
    <col hidden="1" width="10.1640625" customWidth="1" style="4" min="68" max="69"/>
    <col width="10.1640625" customWidth="1" style="4" min="70" max="70"/>
    <col hidden="1" width="10.1640625" customWidth="1" style="4" min="71" max="72"/>
    <col width="10.1640625" customWidth="1" style="4" min="73" max="73"/>
    <col hidden="1" width="10.1640625" customWidth="1" style="4" min="74" max="74"/>
    <col width="10.1640625" customWidth="1" style="4" min="75" max="75"/>
    <col hidden="1" width="10.1640625" customWidth="1" style="4" min="76" max="78"/>
    <col width="10.1640625" customWidth="1" style="4" min="79" max="80"/>
    <col hidden="1" width="10.1640625" customWidth="1" style="4" min="81" max="81"/>
    <col width="10.1640625" customWidth="1" style="4" min="82" max="82"/>
    <col hidden="1" width="10.1640625" customWidth="1" style="4" min="83" max="83"/>
    <col width="10.1640625" customWidth="1" style="4" min="84" max="84"/>
    <col hidden="1" width="10.1640625" customWidth="1" style="4" min="85" max="85"/>
    <col width="10.1640625" customWidth="1" style="4" min="86" max="86"/>
    <col hidden="1" width="10.1640625" customWidth="1" style="4" min="87" max="87"/>
    <col width="10.1640625" customWidth="1" style="4" min="88" max="89"/>
    <col width="13" customWidth="1" min="89" max="89"/>
    <col hidden="1" width="10.1640625" customWidth="1" style="4" min="90" max="92"/>
    <col width="13" customWidth="1" min="91" max="91"/>
    <col width="13" customWidth="1" min="92" max="92"/>
    <col width="8.83203125" customWidth="1" style="134" min="93" max="95"/>
    <col hidden="1" width="8.83203125" customWidth="1" style="134" min="96" max="96"/>
    <col width="8.83203125" customWidth="1" style="134" min="97" max="97"/>
    <col hidden="1" width="8.83203125" customWidth="1" style="134" min="98" max="98"/>
    <col width="8.83203125" customWidth="1" style="4" min="99" max="99"/>
    <col hidden="1" width="10.6640625" customWidth="1" style="12" min="100" max="100"/>
    <col hidden="1" width="10.1640625" customWidth="1" style="12" min="101" max="102"/>
    <col hidden="1" width="10.5" customWidth="1" style="4" min="103" max="103"/>
    <col hidden="1" width="10.1640625" customWidth="1" style="12" min="104" max="105"/>
    <col hidden="1" width="10.1640625" customWidth="1" style="4" min="106" max="106"/>
    <col hidden="1" width="10.1640625" customWidth="1" style="12" min="107" max="107"/>
    <col hidden="1" width="11.1640625" customWidth="1" style="4" min="108" max="108"/>
    <col width="16.1640625" customWidth="1" style="1" min="109" max="109"/>
    <col width="12.6640625" customWidth="1" style="1" min="110" max="110"/>
    <col width="10" customWidth="1" style="1" min="111" max="111"/>
    <col width="10.6640625" customWidth="1" style="1" min="112" max="114"/>
    <col hidden="1" width="10.6640625" customWidth="1" style="1" min="115" max="115"/>
    <col width="10.6640625" customWidth="1" style="1" min="116" max="116"/>
    <col hidden="1" width="10.6640625" customWidth="1" style="1" min="117" max="117"/>
    <col width="10.6640625" customWidth="1" style="1" min="118" max="126"/>
    <col width="9" customWidth="1" style="1" min="127" max="128"/>
    <col width="9" customWidth="1" style="1" min="129" max="16384"/>
  </cols>
  <sheetData>
    <row r="1" ht="19.5" customHeight="1">
      <c r="A1" s="110" t="inlineStr">
        <is>
          <t>宏全國際股份有限公司 無菌三廠</t>
        </is>
      </c>
    </row>
    <row r="2" ht="17.25" customHeight="1" thickBot="1">
      <c r="A2" s="111" t="inlineStr">
        <is>
          <t xml:space="preserve">維他露產品代工明細表             </t>
        </is>
      </c>
      <c r="B2" s="135" t="n"/>
      <c r="C2" s="135" t="n"/>
      <c r="D2" s="135" t="n"/>
      <c r="E2" s="135" t="n"/>
      <c r="F2" s="135" t="n"/>
      <c r="G2" s="135" t="n"/>
      <c r="H2" s="135" t="n"/>
      <c r="I2" s="135" t="n"/>
      <c r="J2" s="135" t="n"/>
      <c r="K2" s="135" t="n"/>
      <c r="L2" s="135" t="n"/>
      <c r="M2" s="135" t="n"/>
      <c r="N2" s="135" t="n"/>
      <c r="O2" s="135" t="n"/>
      <c r="P2" s="135" t="n"/>
      <c r="Q2" s="135" t="n"/>
      <c r="R2" s="135" t="n"/>
      <c r="S2" s="135" t="n"/>
      <c r="T2" s="135" t="n"/>
      <c r="U2" s="135" t="n"/>
      <c r="V2" s="135" t="n"/>
      <c r="W2" s="135" t="n"/>
      <c r="X2" s="135" t="n"/>
      <c r="Y2" s="135" t="n"/>
      <c r="Z2" s="135" t="n"/>
      <c r="AA2" s="135" t="n"/>
      <c r="AB2" s="135" t="n"/>
      <c r="AC2" s="135" t="n"/>
      <c r="AD2" s="135" t="n"/>
      <c r="AE2" s="135" t="n"/>
      <c r="AF2" s="135" t="n"/>
      <c r="AG2" s="135" t="n"/>
      <c r="AH2" s="135" t="n"/>
      <c r="AI2" s="135" t="n"/>
      <c r="AJ2" s="135" t="n"/>
      <c r="AK2" s="135" t="n"/>
      <c r="AL2" s="135" t="n"/>
      <c r="AM2" s="135" t="n"/>
      <c r="AN2" s="135" t="n"/>
      <c r="AO2" s="135" t="n"/>
      <c r="AP2" s="135" t="n"/>
      <c r="AQ2" s="135" t="n"/>
      <c r="AR2" s="135" t="n"/>
      <c r="AS2" s="135" t="n"/>
      <c r="AT2" s="135" t="n"/>
      <c r="AU2" s="135" t="n"/>
      <c r="AV2" s="135" t="n"/>
      <c r="AW2" s="135" t="n"/>
      <c r="AX2" s="135" t="n"/>
      <c r="AY2" s="135" t="n"/>
      <c r="AZ2" s="135" t="n"/>
      <c r="BA2" s="135" t="n"/>
      <c r="BB2" s="135" t="n"/>
      <c r="BC2" s="135" t="n"/>
      <c r="BD2" s="135" t="n"/>
      <c r="BE2" s="135" t="n"/>
      <c r="BF2" s="135" t="n"/>
      <c r="BG2" s="135" t="n"/>
      <c r="BH2" s="135" t="n"/>
      <c r="BI2" s="135" t="n"/>
      <c r="BJ2" s="135" t="n"/>
      <c r="BK2" s="135" t="n"/>
      <c r="BL2" s="135" t="n"/>
      <c r="BM2" s="135" t="n"/>
      <c r="BN2" s="135" t="n"/>
      <c r="BO2" s="135" t="n"/>
      <c r="BP2" s="135" t="n"/>
      <c r="BQ2" s="135" t="n"/>
      <c r="BR2" s="135" t="n"/>
      <c r="BS2" s="135" t="n"/>
      <c r="BT2" s="135" t="n"/>
      <c r="BU2" s="135" t="n"/>
      <c r="BV2" s="135" t="n"/>
      <c r="BW2" s="135" t="n"/>
      <c r="BX2" s="135" t="n"/>
      <c r="BY2" s="135" t="n"/>
      <c r="BZ2" s="135" t="n"/>
      <c r="CA2" s="135" t="n"/>
      <c r="CB2" s="135" t="n"/>
      <c r="CC2" s="135" t="n"/>
      <c r="CD2" s="135" t="n"/>
      <c r="CE2" s="135" t="n"/>
      <c r="CF2" s="135" t="n"/>
      <c r="CG2" s="135" t="n"/>
      <c r="CH2" s="135" t="n"/>
      <c r="CI2" s="135" t="n"/>
      <c r="CJ2" s="135" t="n"/>
      <c r="CK2" s="135" t="n"/>
      <c r="CL2" s="135" t="n"/>
      <c r="CM2" s="135" t="n"/>
      <c r="CN2" s="135" t="n"/>
      <c r="CO2" s="135" t="n"/>
      <c r="CP2" s="135" t="n"/>
      <c r="CQ2" s="135" t="n"/>
      <c r="CR2" s="135" t="n"/>
      <c r="CS2" s="135" t="n"/>
      <c r="CT2" s="135" t="n"/>
      <c r="CU2" s="135" t="n"/>
      <c r="CV2" s="135" t="n"/>
      <c r="CW2" s="135" t="n"/>
      <c r="CX2" s="135" t="n"/>
      <c r="CY2" s="135" t="n"/>
      <c r="CZ2" s="135" t="n"/>
      <c r="DA2" s="135" t="n"/>
      <c r="DB2" s="135" t="n"/>
      <c r="DC2" s="135" t="n"/>
      <c r="DD2" s="135" t="n"/>
    </row>
    <row r="3" ht="21.75" customFormat="1" customHeight="1" s="6" thickBot="1">
      <c r="A3" s="112" t="inlineStr">
        <is>
          <t>品 項</t>
        </is>
      </c>
      <c r="B3" s="114" t="inlineStr">
        <is>
          <t>生產/入庫</t>
        </is>
      </c>
      <c r="C3" s="136" t="n"/>
      <c r="D3" s="136" t="n"/>
      <c r="E3" s="136" t="n"/>
      <c r="F3" s="136" t="n"/>
      <c r="G3" s="136" t="n"/>
      <c r="H3" s="136" t="n"/>
      <c r="I3" s="136" t="n"/>
      <c r="J3" s="136" t="n"/>
      <c r="K3" s="34" t="inlineStr">
        <is>
          <t>出入處</t>
        </is>
      </c>
      <c r="L3" s="137" t="inlineStr">
        <is>
          <t>出庫</t>
        </is>
      </c>
      <c r="M3" s="136" t="n"/>
      <c r="N3" s="136" t="n"/>
      <c r="O3" s="136" t="n"/>
      <c r="P3" s="136" t="n"/>
      <c r="Q3" s="136" t="n"/>
      <c r="R3" s="136" t="n"/>
      <c r="S3" s="136" t="n"/>
      <c r="T3" s="136" t="n"/>
      <c r="U3" s="136" t="n"/>
      <c r="V3" s="136" t="n"/>
      <c r="W3" s="136" t="n"/>
      <c r="X3" s="136" t="n"/>
      <c r="Y3" s="136" t="n"/>
      <c r="Z3" s="136" t="n"/>
      <c r="AA3" s="136" t="n"/>
      <c r="AB3" s="136" t="n"/>
      <c r="AC3" s="136" t="n"/>
      <c r="AD3" s="136" t="n"/>
      <c r="AE3" s="136" t="n"/>
      <c r="AF3" s="136" t="n"/>
      <c r="AG3" s="136" t="n"/>
      <c r="AH3" s="136" t="n"/>
      <c r="AI3" s="136" t="n"/>
      <c r="AJ3" s="136" t="n"/>
      <c r="AK3" s="136" t="n"/>
      <c r="AL3" s="136" t="n"/>
      <c r="AM3" s="136" t="n"/>
      <c r="AN3" s="136" t="n"/>
      <c r="AO3" s="136" t="n"/>
      <c r="AP3" s="136" t="n"/>
      <c r="AQ3" s="136" t="n"/>
      <c r="AR3" s="136" t="n"/>
      <c r="AS3" s="136" t="n"/>
      <c r="AT3" s="136" t="n"/>
      <c r="AU3" s="136" t="n"/>
      <c r="AV3" s="136" t="n"/>
      <c r="AW3" s="136" t="n"/>
      <c r="AX3" s="136" t="n"/>
      <c r="AY3" s="136" t="n"/>
      <c r="AZ3" s="136" t="n"/>
      <c r="BA3" s="136" t="n"/>
      <c r="BB3" s="136" t="n"/>
      <c r="BC3" s="136" t="n"/>
      <c r="BD3" s="136" t="n"/>
      <c r="BE3" s="136" t="n"/>
      <c r="BF3" s="136" t="n"/>
      <c r="BG3" s="136" t="n"/>
      <c r="BH3" s="136" t="n"/>
      <c r="BI3" s="136" t="n"/>
      <c r="BJ3" s="136" t="n"/>
      <c r="BK3" s="136" t="n"/>
      <c r="BL3" s="136" t="n"/>
      <c r="BM3" s="136" t="n"/>
      <c r="BN3" s="136" t="n"/>
      <c r="BO3" s="136" t="n"/>
      <c r="BP3" s="136" t="n"/>
      <c r="BQ3" s="136" t="n"/>
      <c r="BR3" s="136" t="n"/>
      <c r="BS3" s="136" t="n"/>
      <c r="BT3" s="136" t="n"/>
      <c r="BU3" s="136" t="n"/>
      <c r="BV3" s="136" t="n"/>
      <c r="BW3" s="136" t="n"/>
      <c r="BX3" s="136" t="n"/>
      <c r="BY3" s="136" t="n"/>
      <c r="BZ3" s="136" t="n"/>
      <c r="CA3" s="136" t="n"/>
      <c r="CB3" s="136" t="n"/>
      <c r="CC3" s="136" t="n"/>
      <c r="CD3" s="136" t="n"/>
      <c r="CE3" s="136" t="n"/>
      <c r="CF3" s="136" t="n"/>
      <c r="CG3" s="136" t="n"/>
      <c r="CH3" s="136" t="n"/>
      <c r="CI3" s="136" t="n"/>
      <c r="CJ3" s="136" t="n"/>
      <c r="CK3" s="136" t="n"/>
      <c r="CL3" s="136" t="n"/>
      <c r="CM3" s="136" t="n"/>
      <c r="CN3" s="136" t="n"/>
      <c r="CO3" s="136" t="n"/>
      <c r="CP3" s="136" t="n"/>
      <c r="CQ3" s="136" t="n"/>
      <c r="CR3" s="136" t="n"/>
      <c r="CS3" s="136" t="n"/>
      <c r="CT3" s="136" t="n"/>
      <c r="CU3" s="138" t="n"/>
      <c r="CV3" s="119" t="inlineStr">
        <is>
          <t>結存</t>
        </is>
      </c>
      <c r="CW3" s="136" t="n"/>
      <c r="CX3" s="136" t="n"/>
      <c r="CY3" s="136" t="n"/>
      <c r="CZ3" s="136" t="n"/>
      <c r="DA3" s="136" t="n"/>
      <c r="DB3" s="136" t="n"/>
      <c r="DC3" s="136" t="n"/>
      <c r="DD3" s="136" t="n"/>
    </row>
    <row r="4" ht="36" customFormat="1" customHeight="1" s="2" thickBot="1">
      <c r="A4" s="139" t="n"/>
      <c r="B4" s="31" t="inlineStr">
        <is>
          <t>舒跑</t>
        </is>
      </c>
      <c r="C4" s="31" t="inlineStr">
        <is>
          <t>舒跑</t>
        </is>
      </c>
      <c r="D4" s="31" t="inlineStr">
        <is>
          <t>舒跑</t>
        </is>
      </c>
      <c r="E4" s="31" t="inlineStr">
        <is>
          <t>舒跑</t>
        </is>
      </c>
      <c r="F4" s="31" t="inlineStr">
        <is>
          <t>舒跑</t>
        </is>
      </c>
      <c r="G4" s="31" t="inlineStr">
        <is>
          <t>舒跑</t>
        </is>
      </c>
      <c r="H4" s="31" t="inlineStr">
        <is>
          <t>舒跑</t>
        </is>
      </c>
      <c r="I4" s="31" t="inlineStr">
        <is>
          <t>舒跑</t>
        </is>
      </c>
      <c r="J4" s="31" t="inlineStr">
        <is>
          <t>舒跑</t>
        </is>
      </c>
      <c r="K4" s="140" t="inlineStr">
        <is>
          <t>所別/備註</t>
        </is>
      </c>
      <c r="L4" s="30" t="inlineStr">
        <is>
          <t>舒跑</t>
        </is>
      </c>
      <c r="M4" s="31" t="inlineStr">
        <is>
          <t>舒跑</t>
        </is>
      </c>
      <c r="N4" s="31" t="inlineStr">
        <is>
          <t>舒跑</t>
        </is>
      </c>
      <c r="O4" s="31" t="inlineStr">
        <is>
          <t>舒跑</t>
        </is>
      </c>
      <c r="P4" s="31" t="inlineStr">
        <is>
          <t>舒跑</t>
        </is>
      </c>
      <c r="Q4" s="31" t="inlineStr">
        <is>
          <t>舒跑</t>
        </is>
      </c>
      <c r="R4" s="31" t="inlineStr">
        <is>
          <t>舒跑</t>
        </is>
      </c>
      <c r="S4" s="31" t="inlineStr">
        <is>
          <t>舒跑</t>
        </is>
      </c>
      <c r="T4" s="31" t="inlineStr">
        <is>
          <t>舒跑</t>
        </is>
      </c>
      <c r="U4" s="31" t="inlineStr">
        <is>
          <t>舒跑</t>
        </is>
      </c>
      <c r="V4" s="31" t="inlineStr">
        <is>
          <t>舒跑</t>
        </is>
      </c>
      <c r="W4" s="31" t="inlineStr">
        <is>
          <t>舒跑</t>
        </is>
      </c>
      <c r="X4" s="31" t="inlineStr">
        <is>
          <t>舒跑</t>
        </is>
      </c>
      <c r="Y4" s="31" t="inlineStr">
        <is>
          <t>舒跑</t>
        </is>
      </c>
      <c r="Z4" s="31" t="inlineStr">
        <is>
          <t>舒跑</t>
        </is>
      </c>
      <c r="AA4" s="31" t="inlineStr">
        <is>
          <t>舒跑</t>
        </is>
      </c>
      <c r="AB4" s="31" t="inlineStr">
        <is>
          <t>舒跑</t>
        </is>
      </c>
      <c r="AC4" s="31" t="inlineStr">
        <is>
          <t>舒跑</t>
        </is>
      </c>
      <c r="AD4" s="31" t="inlineStr">
        <is>
          <t>舒跑</t>
        </is>
      </c>
      <c r="AE4" s="31" t="inlineStr">
        <is>
          <t>舒跑</t>
        </is>
      </c>
      <c r="AF4" s="31" t="inlineStr">
        <is>
          <t>舒跑</t>
        </is>
      </c>
      <c r="AG4" s="31" t="inlineStr">
        <is>
          <t>舒跑</t>
        </is>
      </c>
      <c r="AH4" s="31" t="inlineStr">
        <is>
          <t>舒跑</t>
        </is>
      </c>
      <c r="AI4" s="31" t="inlineStr">
        <is>
          <t>舒跑</t>
        </is>
      </c>
      <c r="AJ4" s="31" t="inlineStr">
        <is>
          <t>舒跑</t>
        </is>
      </c>
      <c r="AK4" s="31" t="inlineStr">
        <is>
          <t>舒跑</t>
        </is>
      </c>
      <c r="AL4" s="31" t="inlineStr">
        <is>
          <t>舒跑</t>
        </is>
      </c>
      <c r="AM4" s="31" t="inlineStr">
        <is>
          <t>舒跑</t>
        </is>
      </c>
      <c r="AN4" s="31" t="inlineStr">
        <is>
          <t>舒跑</t>
        </is>
      </c>
      <c r="AO4" s="31" t="inlineStr">
        <is>
          <t>舒跑</t>
        </is>
      </c>
      <c r="AP4" s="31" t="inlineStr">
        <is>
          <t>舒跑</t>
        </is>
      </c>
      <c r="AQ4" s="31" t="inlineStr">
        <is>
          <t>舒跑</t>
        </is>
      </c>
      <c r="AR4" s="31" t="inlineStr">
        <is>
          <t>舒跑</t>
        </is>
      </c>
      <c r="AS4" s="31" t="inlineStr">
        <is>
          <t>舒跑</t>
        </is>
      </c>
      <c r="AT4" s="31" t="inlineStr">
        <is>
          <t>舒跑</t>
        </is>
      </c>
      <c r="AU4" s="31" t="inlineStr">
        <is>
          <t>舒跑</t>
        </is>
      </c>
      <c r="AV4" s="59" t="inlineStr">
        <is>
          <t>ROASTA    冷研黑咖啡</t>
        </is>
      </c>
      <c r="AW4" s="59" t="inlineStr">
        <is>
          <t>ROASTA    冷研黑咖啡</t>
        </is>
      </c>
      <c r="AX4" s="59" t="inlineStr">
        <is>
          <t>ROASTA    冷研黑咖啡</t>
        </is>
      </c>
      <c r="AY4" s="59" t="inlineStr">
        <is>
          <t>ROASTA    冷研黑咖啡</t>
        </is>
      </c>
      <c r="AZ4" s="59" t="inlineStr">
        <is>
          <t>ROASTA    冷研黑咖啡</t>
        </is>
      </c>
      <c r="BA4" s="59" t="inlineStr">
        <is>
          <t>ROASTA    冷研黑咖啡</t>
        </is>
      </c>
      <c r="BB4" s="59" t="inlineStr">
        <is>
          <t>ROASTA    冷研黑咖啡</t>
        </is>
      </c>
      <c r="BC4" s="59" t="inlineStr">
        <is>
          <t>ROASTA    冷研黑咖啡</t>
        </is>
      </c>
      <c r="BD4" s="60" t="inlineStr">
        <is>
          <t>ROASTA    冷研拿鐵</t>
        </is>
      </c>
      <c r="BE4" s="60" t="inlineStr">
        <is>
          <t>ROASTA    冷研拿鐵</t>
        </is>
      </c>
      <c r="BF4" s="60" t="inlineStr">
        <is>
          <t>ROASTA    冷研拿鐵</t>
        </is>
      </c>
      <c r="BG4" s="60" t="inlineStr">
        <is>
          <t>ROASTA    冷研拿鐵</t>
        </is>
      </c>
      <c r="BH4" s="60" t="inlineStr">
        <is>
          <t>ROASTA    冷研拿鐵</t>
        </is>
      </c>
      <c r="BI4" s="60" t="inlineStr">
        <is>
          <t>ROASTA    冷研拿鐵</t>
        </is>
      </c>
      <c r="BJ4" s="60" t="inlineStr">
        <is>
          <t>ROASTA    冷研拿鐵</t>
        </is>
      </c>
      <c r="BK4" s="64" t="inlineStr">
        <is>
          <t>御茶園     麥茶</t>
        </is>
      </c>
      <c r="BL4" s="64" t="inlineStr">
        <is>
          <t>御茶園     麥茶</t>
        </is>
      </c>
      <c r="BM4" s="64" t="inlineStr">
        <is>
          <t>御茶園     麥茶</t>
        </is>
      </c>
      <c r="BN4" s="64" t="inlineStr">
        <is>
          <t>御茶園     麥茶</t>
        </is>
      </c>
      <c r="BO4" s="64" t="inlineStr">
        <is>
          <t>御茶園     麥茶</t>
        </is>
      </c>
      <c r="BP4" s="64" t="inlineStr">
        <is>
          <t>御茶園    麥茶</t>
        </is>
      </c>
      <c r="BQ4" s="64" t="inlineStr">
        <is>
          <t>御茶園  麥茶</t>
        </is>
      </c>
      <c r="BR4" s="64" t="inlineStr">
        <is>
          <t>御茶園     麥茶</t>
        </is>
      </c>
      <c r="BS4" s="64" t="inlineStr">
        <is>
          <t>御茶園     麥茶</t>
        </is>
      </c>
      <c r="BT4" s="64" t="inlineStr">
        <is>
          <t>御茶園     麥茶</t>
        </is>
      </c>
      <c r="BU4" s="64" t="inlineStr">
        <is>
          <t>御茶園     麥茶</t>
        </is>
      </c>
      <c r="BV4" s="64" t="inlineStr">
        <is>
          <t>御茶園     麥茶</t>
        </is>
      </c>
      <c r="BW4" s="64" t="inlineStr">
        <is>
          <t>御茶園     麥茶</t>
        </is>
      </c>
      <c r="BX4" s="64" t="inlineStr">
        <is>
          <t>御茶園     麥茶</t>
        </is>
      </c>
      <c r="BY4" s="64" t="inlineStr">
        <is>
          <t>御茶園     麥茶</t>
        </is>
      </c>
      <c r="BZ4" s="64" t="inlineStr">
        <is>
          <t>御茶園     麥茶</t>
        </is>
      </c>
      <c r="CA4" s="64" t="inlineStr">
        <is>
          <t>御茶園     麥茶</t>
        </is>
      </c>
      <c r="CB4" s="68" t="inlineStr">
        <is>
          <t>御茶園     冰釀麥萃</t>
        </is>
      </c>
      <c r="CC4" s="68" t="inlineStr">
        <is>
          <t>御茶園     冰釀麥萃</t>
        </is>
      </c>
      <c r="CD4" s="68" t="inlineStr">
        <is>
          <t>御茶園     冰釀麥萃</t>
        </is>
      </c>
      <c r="CE4" s="68" t="inlineStr">
        <is>
          <t>御茶園     冰釀麥萃</t>
        </is>
      </c>
      <c r="CF4" s="68" t="inlineStr">
        <is>
          <t>御茶園     冰釀麥萃</t>
        </is>
      </c>
      <c r="CG4" s="68" t="inlineStr">
        <is>
          <t>御茶園     冰釀麥萃</t>
        </is>
      </c>
      <c r="CH4" s="68" t="inlineStr">
        <is>
          <t>御茶園     冰釀麥萃</t>
        </is>
      </c>
      <c r="CI4" s="68" t="inlineStr">
        <is>
          <t>御茶園     冰釀麥萃</t>
        </is>
      </c>
      <c r="CJ4" s="68" t="inlineStr">
        <is>
          <t>御茶園     冰釀麥萃</t>
        </is>
      </c>
      <c r="CK4" s="68" t="inlineStr">
        <is>
          <t>御茶園     冰釀麥萃</t>
        </is>
      </c>
      <c r="CL4" s="68" t="inlineStr">
        <is>
          <t>御茶園     冰釀麥萃</t>
        </is>
      </c>
      <c r="CM4" s="68" t="inlineStr">
        <is>
          <t>御茶園     冰釀麥萃</t>
        </is>
      </c>
      <c r="CN4" s="68" t="inlineStr">
        <is>
          <t>御茶園     冰釀麥萃</t>
        </is>
      </c>
      <c r="CO4" s="26" t="inlineStr">
        <is>
          <t>棧板</t>
        </is>
      </c>
      <c r="CP4" s="26" t="inlineStr">
        <is>
          <t>棧板</t>
        </is>
      </c>
      <c r="CQ4" s="26" t="inlineStr">
        <is>
          <t>棧板</t>
        </is>
      </c>
      <c r="CR4" s="26" t="inlineStr">
        <is>
          <t>棧板</t>
        </is>
      </c>
      <c r="CS4" s="26" t="inlineStr">
        <is>
          <t>棧板</t>
        </is>
      </c>
      <c r="CT4" s="26" t="inlineStr">
        <is>
          <t>棧板</t>
        </is>
      </c>
      <c r="CU4" s="27" t="inlineStr">
        <is>
          <t>棧板</t>
        </is>
      </c>
      <c r="CV4" s="30" t="inlineStr">
        <is>
          <t>舒跑</t>
        </is>
      </c>
      <c r="CW4" s="31" t="inlineStr">
        <is>
          <t>舒跑</t>
        </is>
      </c>
      <c r="CX4" s="31" t="inlineStr">
        <is>
          <t>舒跑</t>
        </is>
      </c>
      <c r="CY4" s="31" t="inlineStr">
        <is>
          <t>舒跑</t>
        </is>
      </c>
      <c r="CZ4" s="31" t="inlineStr">
        <is>
          <t>舒跑</t>
        </is>
      </c>
      <c r="DA4" s="31" t="inlineStr">
        <is>
          <t>舒跑</t>
        </is>
      </c>
      <c r="DB4" s="31" t="inlineStr">
        <is>
          <t>舒跑</t>
        </is>
      </c>
      <c r="DC4" s="31" t="inlineStr">
        <is>
          <t>舒跑</t>
        </is>
      </c>
      <c r="DD4" s="31" t="inlineStr">
        <is>
          <t>舒跑</t>
        </is>
      </c>
    </row>
    <row r="5" ht="35.25" customFormat="1" customHeight="1" s="2" thickBot="1">
      <c r="A5" s="36" t="inlineStr">
        <is>
          <t>日 期</t>
        </is>
      </c>
      <c r="B5" s="54" t="inlineStr">
        <is>
          <t>975ML           捷盟</t>
        </is>
      </c>
      <c r="C5" s="54" t="inlineStr">
        <is>
          <t>975ML           捷盟促</t>
        </is>
      </c>
      <c r="D5" s="54" t="inlineStr">
        <is>
          <t>975ML           捷盟專</t>
        </is>
      </c>
      <c r="E5" s="55" t="inlineStr">
        <is>
          <t>975ML           全台</t>
        </is>
      </c>
      <c r="F5" s="55" t="inlineStr">
        <is>
          <t>975ML           全台促</t>
        </is>
      </c>
      <c r="G5" s="55" t="inlineStr">
        <is>
          <t>975ML           全台專</t>
        </is>
      </c>
      <c r="H5" s="56" t="inlineStr">
        <is>
          <t>975ML           PX11</t>
        </is>
      </c>
      <c r="I5" s="56" t="inlineStr">
        <is>
          <t>975ML           PX11促</t>
        </is>
      </c>
      <c r="J5" s="57" t="inlineStr">
        <is>
          <t>975ML           家福</t>
        </is>
      </c>
      <c r="K5" s="141" t="n"/>
      <c r="L5" s="53" t="inlineStr">
        <is>
          <t>975ML           捷盟</t>
        </is>
      </c>
      <c r="M5" s="54" t="inlineStr">
        <is>
          <t>975ML           捷盟促</t>
        </is>
      </c>
      <c r="N5" s="54" t="inlineStr">
        <is>
          <t>975ML           捷盟專</t>
        </is>
      </c>
      <c r="O5" s="55" t="inlineStr">
        <is>
          <t>975ML           全台</t>
        </is>
      </c>
      <c r="P5" s="55" t="inlineStr">
        <is>
          <t>975ML           全台促</t>
        </is>
      </c>
      <c r="Q5" s="55" t="inlineStr">
        <is>
          <t>975ML           全台專</t>
        </is>
      </c>
      <c r="R5" s="56" t="inlineStr">
        <is>
          <t>975ML           PX11</t>
        </is>
      </c>
      <c r="S5" s="56" t="inlineStr">
        <is>
          <t>975ML           PX11促</t>
        </is>
      </c>
      <c r="T5" s="57" t="inlineStr">
        <is>
          <t>975ML           家福</t>
        </is>
      </c>
      <c r="U5" s="81" t="inlineStr">
        <is>
          <t>975ML           COSTCO</t>
        </is>
      </c>
      <c r="V5" s="54" t="inlineStr">
        <is>
          <t>1500ML           捷盟</t>
        </is>
      </c>
      <c r="W5" s="54" t="inlineStr">
        <is>
          <t>1500ML           捷盟促</t>
        </is>
      </c>
      <c r="X5" s="55" t="inlineStr">
        <is>
          <t>1500ML           全台</t>
        </is>
      </c>
      <c r="Y5" s="55" t="inlineStr">
        <is>
          <t>1500ML           全台促</t>
        </is>
      </c>
      <c r="Z5" s="58" t="inlineStr">
        <is>
          <t>1500ML         市塑</t>
        </is>
      </c>
      <c r="AA5" s="58" t="inlineStr">
        <is>
          <t>1500ML         市塑促</t>
        </is>
      </c>
      <c r="AB5" s="56" t="inlineStr">
        <is>
          <t>1500ML           PX11</t>
        </is>
      </c>
      <c r="AC5" s="57" t="inlineStr">
        <is>
          <t>1500ML           家福</t>
        </is>
      </c>
      <c r="AD5" s="57" t="inlineStr">
        <is>
          <t>1500ML           家福促</t>
        </is>
      </c>
      <c r="AE5" s="54" t="inlineStr">
        <is>
          <t>590ML           捷盟</t>
        </is>
      </c>
      <c r="AF5" s="54" t="inlineStr">
        <is>
          <t>590ML           捷盟促</t>
        </is>
      </c>
      <c r="AG5" s="54" t="inlineStr">
        <is>
          <t>590ML           捷盟專</t>
        </is>
      </c>
      <c r="AH5" s="54" t="inlineStr">
        <is>
          <t>590ML           捷盟4入</t>
        </is>
      </c>
      <c r="AI5" s="54" t="inlineStr">
        <is>
          <t>590ML           捷盟4入促</t>
        </is>
      </c>
      <c r="AJ5" s="55" t="inlineStr">
        <is>
          <t>590ML           全台</t>
        </is>
      </c>
      <c r="AK5" s="55" t="inlineStr">
        <is>
          <t>590ML           全台促</t>
        </is>
      </c>
      <c r="AL5" s="55" t="inlineStr">
        <is>
          <t>590ML           全台促</t>
        </is>
      </c>
      <c r="AM5" s="55" t="inlineStr">
        <is>
          <t>590ML           全台專</t>
        </is>
      </c>
      <c r="AN5" s="55" t="inlineStr">
        <is>
          <t>590ML           全台4入</t>
        </is>
      </c>
      <c r="AO5" s="55" t="inlineStr">
        <is>
          <t>590ML           全台4入促</t>
        </is>
      </c>
      <c r="AP5" s="55" t="inlineStr">
        <is>
          <t>590ML           全台6入</t>
        </is>
      </c>
      <c r="AQ5" s="55" t="inlineStr">
        <is>
          <t>590ML           全台6入促</t>
        </is>
      </c>
      <c r="AR5" s="56" t="inlineStr">
        <is>
          <t>590ML           PX11</t>
        </is>
      </c>
      <c r="AS5" s="56" t="inlineStr">
        <is>
          <t>590ML           PX11促</t>
        </is>
      </c>
      <c r="AT5" s="57" t="inlineStr">
        <is>
          <t>590ML           家福4入</t>
        </is>
      </c>
      <c r="AU5" s="57" t="inlineStr">
        <is>
          <t>590ML           家福4入促</t>
        </is>
      </c>
      <c r="AV5" s="54" t="inlineStr">
        <is>
          <t>455ML           捷盟</t>
        </is>
      </c>
      <c r="AW5" s="54" t="inlineStr">
        <is>
          <t>455ML           捷盟促</t>
        </is>
      </c>
      <c r="AX5" s="55" t="inlineStr">
        <is>
          <t>455ML           全台</t>
        </is>
      </c>
      <c r="AY5" s="55" t="inlineStr">
        <is>
          <t>455ML           全台促</t>
        </is>
      </c>
      <c r="AZ5" s="55" t="inlineStr">
        <is>
          <t>455ML           全台4入</t>
        </is>
      </c>
      <c r="BA5" s="55" t="inlineStr">
        <is>
          <t>455ML           全台4入促</t>
        </is>
      </c>
      <c r="BB5" s="56" t="inlineStr">
        <is>
          <t>455ML           PX11</t>
        </is>
      </c>
      <c r="BC5" s="56" t="inlineStr">
        <is>
          <t>455ML           PX11促</t>
        </is>
      </c>
      <c r="BD5" s="54" t="inlineStr">
        <is>
          <t>455ML           捷盟</t>
        </is>
      </c>
      <c r="BE5" s="54" t="inlineStr">
        <is>
          <t>455ML           捷盟促</t>
        </is>
      </c>
      <c r="BF5" s="55" t="inlineStr">
        <is>
          <t>455ML           全台</t>
        </is>
      </c>
      <c r="BG5" s="55" t="inlineStr">
        <is>
          <t>455ML           全台促</t>
        </is>
      </c>
      <c r="BH5" s="55" t="inlineStr">
        <is>
          <t>455ML           全台4入</t>
        </is>
      </c>
      <c r="BI5" s="56" t="inlineStr">
        <is>
          <t>455ML           PX11</t>
        </is>
      </c>
      <c r="BJ5" s="56" t="inlineStr">
        <is>
          <t>455ML           PX11促</t>
        </is>
      </c>
      <c r="BK5" s="54" t="inlineStr">
        <is>
          <t>975ML           捷盟</t>
        </is>
      </c>
      <c r="BL5" s="55" t="inlineStr">
        <is>
          <t>975ML           全台</t>
        </is>
      </c>
      <c r="BM5" s="55" t="inlineStr">
        <is>
          <t>975ML           全台促</t>
        </is>
      </c>
      <c r="BN5" s="56" t="inlineStr">
        <is>
          <t>975ML           PX11</t>
        </is>
      </c>
      <c r="BO5" s="54" t="inlineStr">
        <is>
          <t>590ML           捷盟</t>
        </is>
      </c>
      <c r="BP5" s="54" t="inlineStr">
        <is>
          <t>590ML           捷盟促</t>
        </is>
      </c>
      <c r="BQ5" s="54" t="inlineStr">
        <is>
          <t>590ML           捷盟專</t>
        </is>
      </c>
      <c r="BR5" s="55" t="inlineStr">
        <is>
          <t>590ML           全台</t>
        </is>
      </c>
      <c r="BS5" s="55" t="inlineStr">
        <is>
          <t>590ML           全台促</t>
        </is>
      </c>
      <c r="BT5" s="55" t="inlineStr">
        <is>
          <t>590ML           全台專</t>
        </is>
      </c>
      <c r="BU5" s="55" t="inlineStr">
        <is>
          <t>590ML           全台4入</t>
        </is>
      </c>
      <c r="BV5" s="55" t="inlineStr">
        <is>
          <t>591ML           全台促4入</t>
        </is>
      </c>
      <c r="BW5" s="56" t="inlineStr">
        <is>
          <t>590ML           PX11</t>
        </is>
      </c>
      <c r="BX5" s="56" t="inlineStr">
        <is>
          <t>590ML           PX11促</t>
        </is>
      </c>
      <c r="BY5" s="77" t="inlineStr">
        <is>
          <t>590ML           路凱4入</t>
        </is>
      </c>
      <c r="BZ5" s="55" t="inlineStr">
        <is>
          <t>580ML           全台</t>
        </is>
      </c>
      <c r="CA5" s="81" t="inlineStr">
        <is>
          <t>580ML           COSTCO</t>
        </is>
      </c>
      <c r="CB5" s="55" t="inlineStr">
        <is>
          <t>975ML           全台</t>
        </is>
      </c>
      <c r="CC5" s="55" t="inlineStr">
        <is>
          <t>975ML           全台促</t>
        </is>
      </c>
      <c r="CD5" s="56" t="inlineStr">
        <is>
          <t>975ML           PX11</t>
        </is>
      </c>
      <c r="CE5" s="56" t="inlineStr">
        <is>
          <t>975ML           PX11促</t>
        </is>
      </c>
      <c r="CF5" s="54" t="inlineStr">
        <is>
          <t>590ML           捷盟</t>
        </is>
      </c>
      <c r="CG5" s="54" t="inlineStr">
        <is>
          <t>590ML           捷盟促</t>
        </is>
      </c>
      <c r="CH5" s="55" t="inlineStr">
        <is>
          <t>590ML           全台</t>
        </is>
      </c>
      <c r="CI5" s="55" t="inlineStr">
        <is>
          <t>590ML           全台促</t>
        </is>
      </c>
      <c r="CJ5" s="55" t="inlineStr">
        <is>
          <t>590ML           全台4入</t>
        </is>
      </c>
      <c r="CK5" s="55" t="inlineStr">
        <is>
          <t>590ML           全台促4入</t>
        </is>
      </c>
      <c r="CL5" s="56" t="inlineStr">
        <is>
          <t>590ML           PX11</t>
        </is>
      </c>
      <c r="CM5" s="56" t="inlineStr">
        <is>
          <t>590ML           PX11促</t>
        </is>
      </c>
      <c r="CN5" s="77" t="inlineStr">
        <is>
          <t>590ML           路凱4入</t>
        </is>
      </c>
      <c r="CO5" s="26" t="inlineStr">
        <is>
          <t>(捷盟)     RT-11</t>
        </is>
      </c>
      <c r="CP5" s="26" t="inlineStr">
        <is>
          <t>(全台)    T-11</t>
        </is>
      </c>
      <c r="CQ5" s="26" t="inlineStr">
        <is>
          <t>(PX板)</t>
        </is>
      </c>
      <c r="CR5" s="26" t="inlineStr">
        <is>
          <t>(市塑板)</t>
        </is>
      </c>
      <c r="CS5" s="101" t="inlineStr">
        <is>
          <t>(家福)</t>
        </is>
      </c>
      <c r="CT5" s="101" t="inlineStr">
        <is>
          <t>(路凱)</t>
        </is>
      </c>
      <c r="CU5" s="142" t="inlineStr">
        <is>
          <t>(COSTCO)</t>
        </is>
      </c>
      <c r="CV5" s="53" t="inlineStr">
        <is>
          <t>975ML           捷盟</t>
        </is>
      </c>
      <c r="CW5" s="54" t="inlineStr">
        <is>
          <t>975ML           捷盟促</t>
        </is>
      </c>
      <c r="CX5" s="54" t="inlineStr">
        <is>
          <t>975ML           捷盟專</t>
        </is>
      </c>
      <c r="CY5" s="55" t="inlineStr">
        <is>
          <t>975ML           全台</t>
        </is>
      </c>
      <c r="CZ5" s="55" t="inlineStr">
        <is>
          <t>975ML           全台促</t>
        </is>
      </c>
      <c r="DA5" s="55" t="inlineStr">
        <is>
          <t>975ML           全台專</t>
        </is>
      </c>
      <c r="DB5" s="56" t="inlineStr">
        <is>
          <t>975ML           PX11</t>
        </is>
      </c>
      <c r="DC5" s="56" t="inlineStr">
        <is>
          <t>975ML           PX11促</t>
        </is>
      </c>
      <c r="DD5" s="57" t="inlineStr">
        <is>
          <t>975ML           家福</t>
        </is>
      </c>
    </row>
    <row r="6" ht="35.25" customFormat="1" customHeight="1" s="2" thickBot="1">
      <c r="A6" s="37" t="inlineStr">
        <is>
          <t>產品代號</t>
        </is>
      </c>
      <c r="B6" s="16" t="inlineStr">
        <is>
          <t>SDP0975 2BE1</t>
        </is>
      </c>
      <c r="C6" s="16" t="inlineStr">
        <is>
          <t>SDP0975 2BF1</t>
        </is>
      </c>
      <c r="D6" s="16" t="inlineStr">
        <is>
          <t>SDP0975 2BP1</t>
        </is>
      </c>
      <c r="E6" s="16" t="inlineStr">
        <is>
          <t>SDP0975 2BA1</t>
        </is>
      </c>
      <c r="F6" s="16" t="inlineStr">
        <is>
          <t>SDP0975 2BB1</t>
        </is>
      </c>
      <c r="G6" s="16" t="inlineStr">
        <is>
          <t>SDP0975 2BN1</t>
        </is>
      </c>
      <c r="H6" s="16" t="inlineStr">
        <is>
          <t>SDP0975 2CT1</t>
        </is>
      </c>
      <c r="I6" s="16" t="inlineStr">
        <is>
          <t>SDP0975 2CU1</t>
        </is>
      </c>
      <c r="J6" s="15" t="inlineStr">
        <is>
          <t>CMP0550 1CG1</t>
        </is>
      </c>
      <c r="K6" s="143" t="n"/>
      <c r="L6" s="52" t="inlineStr">
        <is>
          <t>SDP0975 2BE1</t>
        </is>
      </c>
      <c r="M6" s="16" t="inlineStr">
        <is>
          <t>SDP0975 2BF1</t>
        </is>
      </c>
      <c r="N6" s="16" t="inlineStr">
        <is>
          <t>SDP0975 2BP1</t>
        </is>
      </c>
      <c r="O6" s="16" t="inlineStr">
        <is>
          <t>SDP0975 2BA1</t>
        </is>
      </c>
      <c r="P6" s="16" t="inlineStr">
        <is>
          <t>SDP0975 2BB1</t>
        </is>
      </c>
      <c r="Q6" s="16" t="inlineStr">
        <is>
          <t>SDP0975 2BN1</t>
        </is>
      </c>
      <c r="R6" s="16" t="inlineStr">
        <is>
          <t>SDP0975 2CT1</t>
        </is>
      </c>
      <c r="S6" s="16" t="inlineStr">
        <is>
          <t>SDP0975 2CU1</t>
        </is>
      </c>
      <c r="T6" s="15" t="inlineStr">
        <is>
          <t>CMP0550 1CG1</t>
        </is>
      </c>
      <c r="U6" s="94" t="inlineStr">
        <is>
          <t xml:space="preserve">SDP0975 2B71 </t>
        </is>
      </c>
      <c r="V6" s="16" t="inlineStr">
        <is>
          <t>SDP1500 2DE1</t>
        </is>
      </c>
      <c r="W6" s="16" t="inlineStr">
        <is>
          <t>SDP1500 2DF1</t>
        </is>
      </c>
      <c r="X6" s="16" t="inlineStr">
        <is>
          <t>SDP0975 2DJ1</t>
        </is>
      </c>
      <c r="Y6" s="16" t="inlineStr">
        <is>
          <t>SDP1500 2DK1</t>
        </is>
      </c>
      <c r="Z6" s="16" t="inlineStr">
        <is>
          <t>SDP1500 2EY1</t>
        </is>
      </c>
      <c r="AA6" s="16" t="inlineStr">
        <is>
          <t>SDP1500 2EZ1</t>
        </is>
      </c>
      <c r="AB6" s="16" t="inlineStr">
        <is>
          <t>SDP1500 2DT1</t>
        </is>
      </c>
      <c r="AC6" s="16" t="inlineStr">
        <is>
          <t>SDP1500 2DL1</t>
        </is>
      </c>
      <c r="AD6" s="16" t="inlineStr">
        <is>
          <t>SDP1500 2DM1</t>
        </is>
      </c>
      <c r="AE6" s="16" t="inlineStr">
        <is>
          <t>SDP0600 1DE1</t>
        </is>
      </c>
      <c r="AF6" s="16" t="inlineStr">
        <is>
          <t>SDP0600 1DF1</t>
        </is>
      </c>
      <c r="AG6" s="16" t="inlineStr">
        <is>
          <t>SDP0600 1DP1</t>
        </is>
      </c>
      <c r="AH6" s="16" t="inlineStr">
        <is>
          <t>SDP0600 4DE1</t>
        </is>
      </c>
      <c r="AI6" s="16" t="inlineStr">
        <is>
          <t>SDP0600 4DF1</t>
        </is>
      </c>
      <c r="AJ6" s="16" t="inlineStr">
        <is>
          <t>SDP0600 1DJ1</t>
        </is>
      </c>
      <c r="AK6" s="16" t="inlineStr">
        <is>
          <t>SDP0600 1DK1</t>
        </is>
      </c>
      <c r="AL6" s="16" t="inlineStr">
        <is>
          <t>SDP0600 1DB1</t>
        </is>
      </c>
      <c r="AM6" s="16" t="inlineStr">
        <is>
          <t>SDP0600 1DN1</t>
        </is>
      </c>
      <c r="AN6" s="16" t="inlineStr">
        <is>
          <t>SDP0600 4DJ1</t>
        </is>
      </c>
      <c r="AO6" s="16" t="inlineStr">
        <is>
          <t>SDP0600 4DK1</t>
        </is>
      </c>
      <c r="AP6" s="16" t="inlineStr">
        <is>
          <t>SDP0600 6DJ1</t>
        </is>
      </c>
      <c r="AQ6" s="16" t="inlineStr">
        <is>
          <t>SDP0600 6DK1</t>
        </is>
      </c>
      <c r="AR6" s="16" t="inlineStr">
        <is>
          <t>SDP0600 1CV1</t>
        </is>
      </c>
      <c r="AS6" s="16" t="inlineStr">
        <is>
          <t>SDP0600 1CW1</t>
        </is>
      </c>
      <c r="AT6" s="16" t="inlineStr">
        <is>
          <t>SDP0600 4DG1</t>
        </is>
      </c>
      <c r="AU6" s="16" t="inlineStr">
        <is>
          <t>SDP0600 4DH1</t>
        </is>
      </c>
      <c r="AV6" s="16" t="inlineStr">
        <is>
          <t>KAP0455 1A61</t>
        </is>
      </c>
      <c r="AW6" s="16" t="inlineStr">
        <is>
          <t>KAP0455 1A71</t>
        </is>
      </c>
      <c r="AX6" s="16" t="inlineStr">
        <is>
          <t>KAP0455 1AA1</t>
        </is>
      </c>
      <c r="AY6" s="16" t="inlineStr">
        <is>
          <t>KAP0455 1AB1</t>
        </is>
      </c>
      <c r="AZ6" s="16" t="inlineStr">
        <is>
          <t>KAP0455 4AA1</t>
        </is>
      </c>
      <c r="BA6" s="16" t="inlineStr">
        <is>
          <t>KAP0455 4AB1</t>
        </is>
      </c>
      <c r="BB6" s="16" t="inlineStr">
        <is>
          <t>KAP0455 1BT1</t>
        </is>
      </c>
      <c r="BC6" s="16" t="inlineStr">
        <is>
          <t>KAP0455 1BU1</t>
        </is>
      </c>
      <c r="BD6" s="16" t="inlineStr">
        <is>
          <t>KSP0455 1A61</t>
        </is>
      </c>
      <c r="BE6" s="16" t="inlineStr">
        <is>
          <t>KSP0455 1A71</t>
        </is>
      </c>
      <c r="BF6" s="16" t="inlineStr">
        <is>
          <t>KSP0455 1AA1</t>
        </is>
      </c>
      <c r="BG6" s="16" t="inlineStr">
        <is>
          <t>KSP0455 1AB1</t>
        </is>
      </c>
      <c r="BH6" s="16" t="inlineStr">
        <is>
          <t>KSP0455 4AA1</t>
        </is>
      </c>
      <c r="BI6" s="16" t="inlineStr">
        <is>
          <t>KSP0455 1BT1</t>
        </is>
      </c>
      <c r="BJ6" s="16" t="inlineStr">
        <is>
          <t>KSP0455 1BU1</t>
        </is>
      </c>
      <c r="BK6" s="73" t="inlineStr">
        <is>
          <t>JAP0975 2A61</t>
        </is>
      </c>
      <c r="BL6" s="73" t="inlineStr">
        <is>
          <t>JAP0975 2AA1</t>
        </is>
      </c>
      <c r="BM6" s="73" t="inlineStr">
        <is>
          <t>JAP0975 2AB1</t>
        </is>
      </c>
      <c r="BN6" s="73" t="inlineStr">
        <is>
          <t>JAP0975 2BT1</t>
        </is>
      </c>
      <c r="BO6" s="33" t="inlineStr">
        <is>
          <t>JAP0590 1A61</t>
        </is>
      </c>
      <c r="BP6" s="33" t="inlineStr">
        <is>
          <t>JAP0590 1A71</t>
        </is>
      </c>
      <c r="BQ6" s="33" t="inlineStr">
        <is>
          <t>JAP0590 1AP1</t>
        </is>
      </c>
      <c r="BR6" s="33" t="inlineStr">
        <is>
          <t>JAP0590 1AA1</t>
        </is>
      </c>
      <c r="BS6" s="33" t="inlineStr">
        <is>
          <t>JAP0590 1AB1</t>
        </is>
      </c>
      <c r="BT6" s="33" t="inlineStr">
        <is>
          <t>JAP0590 1AN1</t>
        </is>
      </c>
      <c r="BU6" s="33" t="inlineStr">
        <is>
          <t>JAP0590 4AA1</t>
        </is>
      </c>
      <c r="BV6" s="33" t="inlineStr">
        <is>
          <t>JAP0590 4AB1</t>
        </is>
      </c>
      <c r="BW6" s="33" t="inlineStr">
        <is>
          <t>JAP0590 1BT1</t>
        </is>
      </c>
      <c r="BX6" s="33" t="inlineStr">
        <is>
          <t>JAP0590 1BU1</t>
        </is>
      </c>
      <c r="BY6" s="33" t="inlineStr">
        <is>
          <t>JAP0590 4LC1</t>
        </is>
      </c>
      <c r="BZ6" s="33" t="inlineStr">
        <is>
          <t>JAP0580 1AA1</t>
        </is>
      </c>
      <c r="CA6" s="82" t="inlineStr">
        <is>
          <t xml:space="preserve">JAP0580    1B71 </t>
        </is>
      </c>
      <c r="CB6" s="73" t="inlineStr">
        <is>
          <t>JDP0975 2AA1</t>
        </is>
      </c>
      <c r="CC6" s="73" t="inlineStr">
        <is>
          <t>JDP0975 2AB1</t>
        </is>
      </c>
      <c r="CD6" s="73" t="inlineStr">
        <is>
          <t>JDP0975 2BT1</t>
        </is>
      </c>
      <c r="CE6" s="33" t="inlineStr">
        <is>
          <t>JDP0975 2BU1</t>
        </is>
      </c>
      <c r="CF6" s="74" t="inlineStr">
        <is>
          <t>JDP0590 1A61</t>
        </is>
      </c>
      <c r="CG6" s="74" t="inlineStr">
        <is>
          <t>JDP0590 1A71</t>
        </is>
      </c>
      <c r="CH6" s="74" t="inlineStr">
        <is>
          <t>JDP0590 1AA1</t>
        </is>
      </c>
      <c r="CI6" s="74" t="inlineStr">
        <is>
          <t>JDP0590 1AB1</t>
        </is>
      </c>
      <c r="CJ6" s="74" t="inlineStr">
        <is>
          <t>JDP0590   4AA1</t>
        </is>
      </c>
      <c r="CK6" s="74" t="inlineStr">
        <is>
          <t>JDP0590 4AB1</t>
        </is>
      </c>
      <c r="CL6" s="74" t="inlineStr">
        <is>
          <t>JDP0590 1BT1</t>
        </is>
      </c>
      <c r="CM6" s="74" t="inlineStr">
        <is>
          <t>JDP0590 1BU1</t>
        </is>
      </c>
      <c r="CN6" s="74" t="inlineStr">
        <is>
          <t>JDP0590 4LC1</t>
        </is>
      </c>
      <c r="CO6" s="144" t="n"/>
      <c r="CP6" s="144" t="n"/>
      <c r="CQ6" s="144" t="n"/>
      <c r="CR6" s="144" t="n"/>
      <c r="CS6" s="145" t="n"/>
      <c r="CT6" s="145" t="n"/>
      <c r="CU6" s="146" t="n"/>
      <c r="CV6" s="52" t="inlineStr">
        <is>
          <t>SDP0975 2BE1</t>
        </is>
      </c>
      <c r="CW6" s="16" t="inlineStr">
        <is>
          <t>SDP0975 2BF1</t>
        </is>
      </c>
      <c r="CX6" s="16" t="inlineStr">
        <is>
          <t>SDP0975 2BP1</t>
        </is>
      </c>
      <c r="CY6" s="16" t="inlineStr">
        <is>
          <t>SDP0975 2BA1</t>
        </is>
      </c>
      <c r="CZ6" s="16" t="inlineStr">
        <is>
          <t>SDP0975 2BB1</t>
        </is>
      </c>
      <c r="DA6" s="16" t="inlineStr">
        <is>
          <t>SDP0975 2BN1</t>
        </is>
      </c>
      <c r="DB6" s="16" t="inlineStr">
        <is>
          <t>SDP0975 2CT1</t>
        </is>
      </c>
      <c r="DC6" s="16" t="inlineStr">
        <is>
          <t>SDP0975 2CU1</t>
        </is>
      </c>
      <c r="DD6" s="15" t="inlineStr">
        <is>
          <t>CMP0550 1CG1</t>
        </is>
      </c>
    </row>
    <row r="7" ht="20.25" customFormat="1" customHeight="1" s="133">
      <c r="A7" s="126" t="n"/>
      <c r="B7" s="147" t="n"/>
      <c r="C7" s="147" t="n"/>
      <c r="D7" s="147" t="n"/>
      <c r="E7" s="147" t="n"/>
      <c r="F7" s="147" t="n"/>
      <c r="G7" s="147" t="n"/>
      <c r="H7" s="147" t="n"/>
      <c r="I7" s="147" t="n"/>
      <c r="J7" s="147" t="n"/>
      <c r="K7" s="95" t="n"/>
      <c r="L7" s="128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48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48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48" t="n"/>
      <c r="BZ7" s="148" t="n"/>
      <c r="CA7" s="148" t="n"/>
      <c r="CB7" s="129" t="n"/>
      <c r="CC7" s="148" t="n"/>
      <c r="CD7" s="129" t="n"/>
      <c r="CE7" s="129" t="n"/>
      <c r="CF7" s="129" t="n"/>
      <c r="CG7" s="129" t="n"/>
      <c r="CH7" s="129" t="n"/>
      <c r="CI7" s="129" t="n"/>
      <c r="CJ7" s="129" t="n"/>
      <c r="CK7" s="129" t="n"/>
      <c r="CL7" s="129" t="n"/>
      <c r="CM7" s="129" t="n"/>
      <c r="CN7" s="129" t="n"/>
      <c r="CO7" s="129">
        <f>SUM(L7+M7+N7+BK7)/65+SUM(V7+W7)/44+SUM(AE7+AF7+AG7+AH7+AI7+BO7+BP7+BQ7+CF7+CG7)/45+SUM(AV7+AW7+BD7+BE7)/60</f>
        <v/>
      </c>
      <c r="CP7" s="129">
        <f>SUM(O7+P7+Q7+BL7+BM7+CB7+CC7)/65+SUM(X7+Y7)/44+SUM(AJ7+AK7+AM7+AN7+AO7+AP7+AQ7+BR7+BS7+BT7+BU7+BV7+CH7+CI7+CJ7+CK7)/45+SUM(AX7+AY7+AZ7+BA7+BF7+BG7+BH7)/60+SUM(AL7+BZ7)/50</f>
        <v/>
      </c>
      <c r="CQ7" s="129">
        <f>SUM(R7+S7+BN7+CD7+CE7)/65+SUM(AB7)/36+SUM(AR7+AS7+BW7+BX7+CL7+CM7)/40+SUM(BB7+BC7+BI7+BJ7)/60</f>
        <v/>
      </c>
      <c r="CR7" s="129">
        <f>SUM(Z7+AA7)/44</f>
        <v/>
      </c>
      <c r="CS7" s="129">
        <f>SUM(T7)/65+SUM(AC7+AD7)/40+SUM(AT7+AU7)/54</f>
        <v/>
      </c>
      <c r="CT7" s="129">
        <f>SUM(BY7+CN7)/45</f>
        <v/>
      </c>
      <c r="CU7" s="130">
        <f>SUM(U7)/75+SUM(CA7)/60</f>
        <v/>
      </c>
      <c r="CV7" s="149">
        <f>#REF!+B7-L7</f>
        <v/>
      </c>
      <c r="CW7" s="149">
        <f>#REF!+C7-M7</f>
        <v/>
      </c>
      <c r="CX7" s="149">
        <f>#REF!+D7-N7</f>
        <v/>
      </c>
      <c r="CY7" s="149">
        <f>#REF!+E7-O7</f>
        <v/>
      </c>
      <c r="CZ7" s="149">
        <f>#REF!+F7-P7</f>
        <v/>
      </c>
      <c r="DA7" s="149">
        <f>#REF!+G7-Q7</f>
        <v/>
      </c>
      <c r="DB7" s="149">
        <f>#REF!+H7-R7</f>
        <v/>
      </c>
      <c r="DC7" s="149">
        <f>#REF!+I7-S7</f>
        <v/>
      </c>
      <c r="DD7" s="149">
        <f>#REF!+J7-T7</f>
        <v/>
      </c>
      <c r="DE7" s="150" t="n"/>
    </row>
    <row r="8" ht="20.25" customHeight="1">
      <c r="A8" s="61" t="n"/>
      <c r="B8" s="151" t="n"/>
      <c r="C8" s="151" t="n"/>
      <c r="D8" s="151" t="n"/>
      <c r="E8" s="151" t="n"/>
      <c r="F8" s="151" t="n"/>
      <c r="G8" s="151" t="n"/>
      <c r="H8" s="151" t="n"/>
      <c r="I8" s="151" t="n"/>
      <c r="J8" s="151" t="n"/>
      <c r="K8" s="71" t="n"/>
      <c r="L8" s="63" t="n"/>
      <c r="M8" s="17" t="n"/>
      <c r="N8" s="17" t="n"/>
      <c r="O8" s="17" t="n"/>
      <c r="P8" s="17" t="n"/>
      <c r="Q8" s="17" t="n"/>
      <c r="R8" s="17" t="n"/>
      <c r="S8" s="17" t="n"/>
      <c r="T8" s="17" t="n"/>
      <c r="U8" s="152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52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62" t="n"/>
      <c r="BE8" s="62" t="n"/>
      <c r="BF8" s="62" t="n"/>
      <c r="BG8" s="62" t="n"/>
      <c r="BH8" s="62" t="n"/>
      <c r="BI8" s="62" t="n"/>
      <c r="BJ8" s="62" t="n"/>
      <c r="BK8" s="66" t="n"/>
      <c r="BL8" s="66" t="n"/>
      <c r="BM8" s="66" t="n"/>
      <c r="BN8" s="66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52" t="n"/>
      <c r="BZ8" s="153" t="n"/>
      <c r="CA8" s="153" t="n"/>
      <c r="CB8" s="66" t="n"/>
      <c r="CC8" s="154" t="n"/>
      <c r="CD8" s="66" t="n"/>
      <c r="CE8" s="66" t="n"/>
      <c r="CF8" s="69" t="n"/>
      <c r="CG8" s="69" t="n"/>
      <c r="CH8" s="69" t="n"/>
      <c r="CI8" s="69" t="n"/>
      <c r="CJ8" s="69" t="n"/>
      <c r="CK8" s="69" t="n"/>
      <c r="CL8" s="69" t="n"/>
      <c r="CM8" s="17" t="n"/>
      <c r="CN8" s="17" t="n"/>
      <c r="CO8" s="38">
        <f>SUM(L8+M8+N8+BK8)/65+SUM(V8+W8)/44+SUM(AE8+AF8+AG8+AH8+AI8+BO8+BP8+BQ8+CF8+CG8)/45+SUM(AV8+AW8+BD8+BE8)/60</f>
        <v/>
      </c>
      <c r="CP8" s="38">
        <f>SUM(O8+P8+Q8+BL8+BM8+CB8+CC8)/65+SUM(X8+Y8)/44+SUM(AJ8+AK8+AM8+AN8+AO8+AP8+AQ8+BR8+BS8+BT8+BU8+BV8+CH8+CI8+CJ8+CK8)/45+SUM(AX8+AY8+AZ8+BA8+BF8+BG8+BH8)/60+SUM(AL8+BZ8)/50</f>
        <v/>
      </c>
      <c r="CQ8" s="38">
        <f>SUM(R8+S8+BN8+CD8+CE8)/65+SUM(AB8)/36+SUM(AR8+AS8+BW8+BX8+CL8+CM8)/40+SUM(BB8+BC8+BI8+BJ8)/60</f>
        <v/>
      </c>
      <c r="CR8" s="38">
        <f>SUM(Z8+AA8)/44</f>
        <v/>
      </c>
      <c r="CS8" s="38">
        <f>SUM(T8)/65+SUM(AC8+AD8)/40+SUM(AT8+AU8)/54</f>
        <v/>
      </c>
      <c r="CT8" s="38">
        <f>SUM(BY8+CN8)/45</f>
        <v/>
      </c>
      <c r="CU8" s="83">
        <f>SUM(U8)/75+SUM(CA8)/60</f>
        <v/>
      </c>
      <c r="CV8" s="155">
        <f>CV7+B8-L8</f>
        <v/>
      </c>
      <c r="CW8" s="155">
        <f>CW7+C8-M8</f>
        <v/>
      </c>
      <c r="CX8" s="155">
        <f>CX7+D8-N8</f>
        <v/>
      </c>
      <c r="CY8" s="155">
        <f>CY7+E8-O8</f>
        <v/>
      </c>
      <c r="CZ8" s="155">
        <f>CZ7+F8-P8</f>
        <v/>
      </c>
      <c r="DA8" s="155">
        <f>DA7+G8-Q8</f>
        <v/>
      </c>
      <c r="DB8" s="155">
        <f>DB7+H8-R8</f>
        <v/>
      </c>
      <c r="DC8" s="155">
        <f>DC7+I8-S8</f>
        <v/>
      </c>
      <c r="DD8" s="155">
        <f>DD7+J8-T8</f>
        <v/>
      </c>
      <c r="DE8" s="156" t="n"/>
    </row>
    <row r="9" ht="20.25" customHeight="1">
      <c r="A9" s="61" t="n"/>
      <c r="B9" s="151" t="n"/>
      <c r="C9" s="151" t="n"/>
      <c r="D9" s="151" t="n"/>
      <c r="E9" s="151" t="n"/>
      <c r="F9" s="151" t="n"/>
      <c r="G9" s="151" t="n"/>
      <c r="H9" s="151" t="n"/>
      <c r="I9" s="151" t="n"/>
      <c r="J9" s="151" t="n"/>
      <c r="K9" s="65" t="n"/>
      <c r="L9" s="63" t="n"/>
      <c r="M9" s="17" t="n"/>
      <c r="N9" s="17" t="n"/>
      <c r="O9" s="17" t="n"/>
      <c r="P9" s="17" t="n"/>
      <c r="Q9" s="17" t="n"/>
      <c r="R9" s="17" t="n"/>
      <c r="S9" s="17" t="n"/>
      <c r="T9" s="17" t="n"/>
      <c r="U9" s="152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52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62" t="n"/>
      <c r="BE9" s="62" t="n"/>
      <c r="BF9" s="62" t="n"/>
      <c r="BG9" s="62" t="n"/>
      <c r="BH9" s="62" t="n"/>
      <c r="BI9" s="62" t="n"/>
      <c r="BJ9" s="62" t="n"/>
      <c r="BK9" s="66" t="n"/>
      <c r="BL9" s="66" t="n"/>
      <c r="BM9" s="66" t="n"/>
      <c r="BN9" s="66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52" t="n"/>
      <c r="BZ9" s="153" t="n"/>
      <c r="CA9" s="153" t="n"/>
      <c r="CB9" s="66" t="n"/>
      <c r="CC9" s="154" t="n"/>
      <c r="CD9" s="66" t="n"/>
      <c r="CE9" s="66" t="n"/>
      <c r="CF9" s="69" t="n"/>
      <c r="CG9" s="69" t="n"/>
      <c r="CH9" s="69" t="n"/>
      <c r="CI9" s="69" t="n"/>
      <c r="CJ9" s="69" t="n"/>
      <c r="CK9" s="69" t="n"/>
      <c r="CL9" s="69" t="n"/>
      <c r="CM9" s="17" t="n"/>
      <c r="CN9" s="17" t="n"/>
      <c r="CO9" s="38">
        <f>SUM(L9+M9+N9+BK9)/65+SUM(V9+W9)/44+SUM(AE9+AF9+AG9+AH9+AI9+BO9+BP9+BQ9+CF9+CG9)/45+SUM(AV9+AW9+BD9+BE9)/60</f>
        <v/>
      </c>
      <c r="CP9" s="38">
        <f>SUM(O9+P9+Q9+BL9+BM9+CB9+CC9)/65+SUM(X9+Y9)/44+SUM(AJ9+AK9+AM9+AN9+AO9+AP9+AQ9+BR9+BS9+BT9+BU9+BV9+CH9+CI9+CJ9+CK9)/45+SUM(AX9+AY9+AZ9+BA9+BF9+BG9+BH9)/60+SUM(AL9+BZ9)/50</f>
        <v/>
      </c>
      <c r="CQ9" s="38">
        <f>SUM(R9+S9+BN9+CD9+CE9)/65+SUM(AB9)/36+SUM(AR9+AS9+BW9+BX9+CL9+CM9)/40+SUM(BB9+BC9+BI9+BJ9)/60</f>
        <v/>
      </c>
      <c r="CR9" s="38">
        <f>SUM(Z9+AA9)/44</f>
        <v/>
      </c>
      <c r="CS9" s="38">
        <f>SUM(T9)/65+SUM(AC9+AD9)/40+SUM(AT9+AU9)/54</f>
        <v/>
      </c>
      <c r="CT9" s="38">
        <f>SUM(BY9+CN9)/45</f>
        <v/>
      </c>
      <c r="CU9" s="83">
        <f>SUM(U9)/75+SUM(CA9)/60</f>
        <v/>
      </c>
      <c r="CV9" s="155">
        <f>CV17+B9-L9</f>
        <v/>
      </c>
      <c r="CW9" s="155">
        <f>#REF!+C9-M9</f>
        <v/>
      </c>
      <c r="CX9" s="155">
        <f>#REF!+D9-N9</f>
        <v/>
      </c>
      <c r="CY9" s="155">
        <f>#REF!+E9-O9</f>
        <v/>
      </c>
      <c r="CZ9" s="155">
        <f>#REF!+F9-P9</f>
        <v/>
      </c>
      <c r="DA9" s="155">
        <f>#REF!+G9-Q9</f>
        <v/>
      </c>
      <c r="DB9" s="155">
        <f>#REF!+H9-R9</f>
        <v/>
      </c>
      <c r="DC9" s="155">
        <f>#REF!+I9-S9</f>
        <v/>
      </c>
      <c r="DD9" s="155">
        <f>#REF!+J9-T9</f>
        <v/>
      </c>
      <c r="DE9" s="156" t="n"/>
    </row>
    <row r="10" ht="20.25" customHeight="1">
      <c r="A10" s="61" t="n"/>
      <c r="B10" s="151" t="n"/>
      <c r="C10" s="151" t="n"/>
      <c r="D10" s="151" t="n"/>
      <c r="E10" s="151" t="n"/>
      <c r="F10" s="151" t="n"/>
      <c r="G10" s="151" t="n"/>
      <c r="H10" s="151" t="n"/>
      <c r="I10" s="151" t="n"/>
      <c r="J10" s="151" t="n"/>
      <c r="K10" s="65" t="n"/>
      <c r="L10" s="63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52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52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50" t="n"/>
      <c r="AW10" s="50" t="n"/>
      <c r="AX10" s="50" t="n"/>
      <c r="AY10" s="50" t="n"/>
      <c r="AZ10" s="50" t="n"/>
      <c r="BA10" s="50" t="n"/>
      <c r="BB10" s="50" t="n"/>
      <c r="BC10" s="50" t="n"/>
      <c r="BD10" s="62" t="n"/>
      <c r="BE10" s="62" t="n"/>
      <c r="BF10" s="62" t="n"/>
      <c r="BG10" s="62" t="n"/>
      <c r="BH10" s="62" t="n"/>
      <c r="BI10" s="62" t="n"/>
      <c r="BJ10" s="62" t="n"/>
      <c r="BK10" s="66" t="n"/>
      <c r="BL10" s="66" t="n"/>
      <c r="BM10" s="66" t="n"/>
      <c r="BN10" s="66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52" t="n"/>
      <c r="BZ10" s="153" t="n"/>
      <c r="CA10" s="153" t="n"/>
      <c r="CB10" s="66" t="n"/>
      <c r="CC10" s="154" t="n"/>
      <c r="CD10" s="66" t="n"/>
      <c r="CE10" s="66" t="n"/>
      <c r="CF10" s="69" t="n"/>
      <c r="CG10" s="69" t="n"/>
      <c r="CH10" s="69" t="n"/>
      <c r="CI10" s="69" t="n"/>
      <c r="CJ10" s="69" t="n"/>
      <c r="CK10" s="69" t="n"/>
      <c r="CL10" s="69" t="n"/>
      <c r="CM10" s="17" t="n"/>
      <c r="CN10" s="17" t="n"/>
      <c r="CO10" s="38">
        <f>SUM(L10+M10+N10+BK10)/65+SUM(V10+W10)/44+SUM(AE10+AF10+AG10+AH10+AI10+BO10+BP10+BQ10+CF10+CG10)/45+SUM(AV10+AW10+BD10+BE10)/60</f>
        <v/>
      </c>
      <c r="CP10" s="38">
        <f>SUM(O10+P10+Q10+BL10+BM10+CB10+CC10)/65+SUM(X10+Y10)/44+SUM(AJ10+AK10+AM10+AN10+AO10+AP10+AQ10+BR10+BS10+BT10+BU10+BV10+CH10+CI10+CJ10+CK10)/45+SUM(AX10+AY10+AZ10+BA10+BF10+BG10+BH10)/60+SUM(AL10+BZ10)/50</f>
        <v/>
      </c>
      <c r="CQ10" s="38">
        <f>SUM(R10+S10+BN10+CD10+CE10)/65+SUM(AB10)/36+SUM(AR10+AS10+BW10+BX10+CL10+CM10)/40+SUM(BB10+BC10+BI10+BJ10)/60</f>
        <v/>
      </c>
      <c r="CR10" s="38">
        <f>SUM(Z10+AA10)/44</f>
        <v/>
      </c>
      <c r="CS10" s="38">
        <f>SUM(T10)/65+SUM(AC10+AD10)/40+SUM(AT10+AU10)/54</f>
        <v/>
      </c>
      <c r="CT10" s="38">
        <f>SUM(BY10+CN10)/45</f>
        <v/>
      </c>
      <c r="CU10" s="83">
        <f>SUM(U10)/75+SUM(CA10)/60</f>
        <v/>
      </c>
      <c r="CV10" s="155">
        <f>#REF!+B10-L10</f>
        <v/>
      </c>
      <c r="CW10" s="155">
        <f>CW9+C10-M10</f>
        <v/>
      </c>
      <c r="CX10" s="155">
        <f>CX9+D10-N10</f>
        <v/>
      </c>
      <c r="CY10" s="155">
        <f>CY9+E10-O10</f>
        <v/>
      </c>
      <c r="CZ10" s="155">
        <f>CZ9+F10-P10</f>
        <v/>
      </c>
      <c r="DA10" s="155">
        <f>DA9+G10-Q10</f>
        <v/>
      </c>
      <c r="DB10" s="155">
        <f>DB9+H10-R10</f>
        <v/>
      </c>
      <c r="DC10" s="155">
        <f>DC9+I10-S10</f>
        <v/>
      </c>
      <c r="DD10" s="155">
        <f>DD9+J10-T10</f>
        <v/>
      </c>
      <c r="DE10" s="156" t="n"/>
    </row>
    <row r="11" ht="20.25" customHeight="1">
      <c r="A11" s="61" t="n"/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65" t="n"/>
      <c r="L11" s="63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52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52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50" t="n"/>
      <c r="AW11" s="50" t="n"/>
      <c r="AX11" s="50" t="n"/>
      <c r="AY11" s="50" t="n"/>
      <c r="AZ11" s="50" t="n"/>
      <c r="BA11" s="50" t="n"/>
      <c r="BB11" s="50" t="n"/>
      <c r="BC11" s="50" t="n"/>
      <c r="BD11" s="62" t="n"/>
      <c r="BE11" s="62" t="n"/>
      <c r="BF11" s="62" t="n"/>
      <c r="BG11" s="62" t="n"/>
      <c r="BH11" s="62" t="n"/>
      <c r="BI11" s="62" t="n"/>
      <c r="BJ11" s="62" t="n"/>
      <c r="BK11" s="66" t="n"/>
      <c r="BL11" s="66" t="n"/>
      <c r="BM11" s="66" t="n"/>
      <c r="BN11" s="66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52" t="n"/>
      <c r="BZ11" s="153" t="n"/>
      <c r="CA11" s="153" t="n"/>
      <c r="CB11" s="66" t="n"/>
      <c r="CC11" s="154" t="n"/>
      <c r="CD11" s="66" t="n"/>
      <c r="CE11" s="66" t="n"/>
      <c r="CF11" s="69" t="n"/>
      <c r="CG11" s="69" t="n"/>
      <c r="CH11" s="69" t="n"/>
      <c r="CI11" s="69" t="n"/>
      <c r="CJ11" s="69" t="n"/>
      <c r="CK11" s="69" t="n"/>
      <c r="CL11" s="69" t="n"/>
      <c r="CM11" s="17" t="n"/>
      <c r="CN11" s="17" t="n"/>
      <c r="CO11" s="38">
        <f>SUM(L11+M11+N11+BK11)/65+SUM(V11+W11)/44+SUM(AE11+AF11+AG11+AH11+AI11+BO11+BP11+BQ11+CF11+CG11)/45+SUM(AV11+AW11+BD11+BE11)/60</f>
        <v/>
      </c>
      <c r="CP11" s="38">
        <f>SUM(O11+P11+Q11+BL11+BM11+CB11+CC11)/65+SUM(X11+Y11)/44+SUM(AJ11+AK11+AM11+AN11+AO11+AP11+AQ11+BR11+BS11+BT11+BU11+BV11+CH11+CI11+CJ11+CK11)/45+SUM(AX11+AY11+AZ11+BA11+BF11+BG11+BH11)/60+SUM(AL11+BZ11)/50</f>
        <v/>
      </c>
      <c r="CQ11" s="38">
        <f>SUM(R11+S11+BN11+CD11+CE11)/65+SUM(AB11)/36+SUM(AR11+AS11+BW11+BX11+CL11+CM11)/40+SUM(BB11+BC11+BI11+BJ11)/60</f>
        <v/>
      </c>
      <c r="CR11" s="38">
        <f>SUM(Z11+AA11)/44</f>
        <v/>
      </c>
      <c r="CS11" s="38">
        <f>SUM(T11)/65+SUM(AC11+AD11)/40+SUM(AT11+AU11)/54</f>
        <v/>
      </c>
      <c r="CT11" s="38">
        <f>SUM(BY11+CN11)/45</f>
        <v/>
      </c>
      <c r="CU11" s="83">
        <f>SUM(U11)/75+SUM(CA11)/60</f>
        <v/>
      </c>
      <c r="CV11" s="155">
        <f>CV10+B11-L11</f>
        <v/>
      </c>
      <c r="CW11" s="155">
        <f>CW10+C11-M11</f>
        <v/>
      </c>
      <c r="CX11" s="155">
        <f>CX10+D11-N11</f>
        <v/>
      </c>
      <c r="CY11" s="155">
        <f>CY10+E11-O11</f>
        <v/>
      </c>
      <c r="CZ11" s="155">
        <f>CZ10+F11-P11</f>
        <v/>
      </c>
      <c r="DA11" s="155">
        <f>DA10+G11-Q11</f>
        <v/>
      </c>
      <c r="DB11" s="155">
        <f>DB10+H11-R11</f>
        <v/>
      </c>
      <c r="DC11" s="155">
        <f>DC10+I11-S11</f>
        <v/>
      </c>
      <c r="DD11" s="155">
        <f>DD10+J11-T11</f>
        <v/>
      </c>
      <c r="DE11" s="156" t="n"/>
    </row>
    <row r="12" ht="20.25" customHeight="1">
      <c r="A12" s="61" t="n"/>
      <c r="B12" s="151" t="n"/>
      <c r="C12" s="151" t="n"/>
      <c r="D12" s="151" t="n"/>
      <c r="E12" s="151" t="n"/>
      <c r="F12" s="151" t="n"/>
      <c r="G12" s="151" t="n"/>
      <c r="H12" s="151" t="n"/>
      <c r="I12" s="151" t="n"/>
      <c r="J12" s="151" t="n"/>
      <c r="K12" s="65" t="n"/>
      <c r="L12" s="63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52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52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50" t="n"/>
      <c r="AW12" s="50" t="n"/>
      <c r="AX12" s="50" t="n"/>
      <c r="AY12" s="50" t="n"/>
      <c r="AZ12" s="50" t="n"/>
      <c r="BA12" s="50" t="n"/>
      <c r="BB12" s="50" t="n"/>
      <c r="BC12" s="50" t="n"/>
      <c r="BD12" s="62" t="n"/>
      <c r="BE12" s="62" t="n"/>
      <c r="BF12" s="62" t="n"/>
      <c r="BG12" s="62" t="n"/>
      <c r="BH12" s="62" t="n"/>
      <c r="BI12" s="62" t="n"/>
      <c r="BJ12" s="62" t="n"/>
      <c r="BK12" s="66" t="n"/>
      <c r="BL12" s="66" t="n"/>
      <c r="BM12" s="66" t="n"/>
      <c r="BN12" s="66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52" t="n"/>
      <c r="BZ12" s="153" t="n"/>
      <c r="CA12" s="153" t="n"/>
      <c r="CB12" s="66" t="n"/>
      <c r="CC12" s="154" t="n"/>
      <c r="CD12" s="66" t="n"/>
      <c r="CE12" s="66" t="n"/>
      <c r="CF12" s="69" t="n"/>
      <c r="CG12" s="69" t="n"/>
      <c r="CH12" s="69" t="n"/>
      <c r="CI12" s="69" t="n"/>
      <c r="CJ12" s="69" t="n"/>
      <c r="CK12" s="69" t="n"/>
      <c r="CL12" s="69" t="n"/>
      <c r="CM12" s="17" t="n"/>
      <c r="CN12" s="17" t="n"/>
      <c r="CO12" s="38">
        <f>SUM(L12+M12+N12+BK12)/65+SUM(V12+W12)/44+SUM(AE12+AF12+AG12+AH12+AI12+BO12+BP12+BQ12+CF12+CG12)/45+SUM(AV12+AW12+BD12+BE12)/60</f>
        <v/>
      </c>
      <c r="CP12" s="38">
        <f>SUM(O12+P12+Q12+BL12+BM12+CB12+CC12)/65+SUM(X12+Y12)/44+SUM(AJ12+AK12+AM12+AN12+AO12+AP12+AQ12+BR12+BS12+BT12+BU12+BV12+CH12+CI12+CJ12+CK12)/45+SUM(AX12+AY12+AZ12+BA12+BF12+BG12+BH12)/60+SUM(AL12+BZ12)/50</f>
        <v/>
      </c>
      <c r="CQ12" s="38">
        <f>SUM(R12+S12+BN12+CD12+CE12)/65+SUM(AB12)/36+SUM(AR12+AS12+BW12+BX12+CL12+CM12)/40+SUM(BB12+BC12+BI12+BJ12)/60</f>
        <v/>
      </c>
      <c r="CR12" s="38">
        <f>SUM(Z12+AA12)/44</f>
        <v/>
      </c>
      <c r="CS12" s="38">
        <f>SUM(T12)/65+SUM(AC12+AD12)/40+SUM(AT12+AU12)/54</f>
        <v/>
      </c>
      <c r="CT12" s="38">
        <f>SUM(BY12+CN12)/45</f>
        <v/>
      </c>
      <c r="CU12" s="83">
        <f>SUM(U12)/75+SUM(CA12)/60</f>
        <v/>
      </c>
      <c r="CV12" s="155">
        <f>CV11+B12-L12</f>
        <v/>
      </c>
      <c r="CW12" s="155">
        <f>CW11+C12-M12</f>
        <v/>
      </c>
      <c r="CX12" s="155">
        <f>CX11+D12-N12</f>
        <v/>
      </c>
      <c r="CY12" s="155">
        <f>CY11+E12-O12</f>
        <v/>
      </c>
      <c r="CZ12" s="155">
        <f>CZ11+F12-P12</f>
        <v/>
      </c>
      <c r="DA12" s="155">
        <f>DA11+G12-Q12</f>
        <v/>
      </c>
      <c r="DB12" s="155">
        <f>DB11+H12-R12</f>
        <v/>
      </c>
      <c r="DC12" s="155">
        <f>DC11+I12-S12</f>
        <v/>
      </c>
      <c r="DD12" s="155">
        <f>DD11+J12-T12</f>
        <v/>
      </c>
      <c r="DE12" s="156" t="n"/>
    </row>
    <row r="13" ht="20.25" customHeight="1">
      <c r="A13" s="61" t="n"/>
      <c r="B13" s="151" t="n"/>
      <c r="C13" s="151" t="n"/>
      <c r="D13" s="151" t="n"/>
      <c r="E13" s="151" t="n"/>
      <c r="F13" s="151" t="n"/>
      <c r="G13" s="151" t="n"/>
      <c r="H13" s="151" t="n"/>
      <c r="I13" s="151" t="n"/>
      <c r="J13" s="151" t="n"/>
      <c r="K13" s="65" t="n"/>
      <c r="L13" s="63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52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52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50" t="n"/>
      <c r="AW13" s="50" t="n"/>
      <c r="AX13" s="50" t="n"/>
      <c r="AY13" s="50" t="n"/>
      <c r="AZ13" s="50" t="n"/>
      <c r="BA13" s="50" t="n"/>
      <c r="BB13" s="50" t="n"/>
      <c r="BC13" s="50" t="n"/>
      <c r="BD13" s="62" t="n"/>
      <c r="BE13" s="62" t="n"/>
      <c r="BF13" s="62" t="n"/>
      <c r="BG13" s="62" t="n"/>
      <c r="BH13" s="62" t="n"/>
      <c r="BI13" s="62" t="n"/>
      <c r="BJ13" s="62" t="n"/>
      <c r="BK13" s="66" t="n"/>
      <c r="BL13" s="66" t="n"/>
      <c r="BM13" s="66" t="n"/>
      <c r="BN13" s="66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52" t="n"/>
      <c r="BZ13" s="153" t="n"/>
      <c r="CA13" s="153" t="n"/>
      <c r="CB13" s="66" t="n"/>
      <c r="CC13" s="154" t="n"/>
      <c r="CD13" s="66" t="n"/>
      <c r="CE13" s="66" t="n"/>
      <c r="CF13" s="69" t="n"/>
      <c r="CG13" s="69" t="n"/>
      <c r="CH13" s="69" t="n"/>
      <c r="CI13" s="69" t="n"/>
      <c r="CJ13" s="69" t="n"/>
      <c r="CK13" s="69" t="n"/>
      <c r="CL13" s="69" t="n"/>
      <c r="CM13" s="17" t="n"/>
      <c r="CN13" s="17" t="n"/>
      <c r="CO13" s="38">
        <f>SUM(L13+M13+N13+BK13)/65+SUM(V13+W13)/44+SUM(AE13+AF13+AG13+AH13+AI13+BO13+BP13+BQ13+CF13+CG13)/45+SUM(AV13+AW13+BD13+BE13)/60</f>
        <v/>
      </c>
      <c r="CP13" s="38">
        <f>SUM(O13+P13+Q13+BL13+BM13+CB13+CC13)/65+SUM(X13+Y13)/44+SUM(AJ13+AK13+AM13+AN13+AO13+AP13+AQ13+BR13+BS13+BT13+BU13+BV13+CH13+CI13+CJ13+CK13)/45+SUM(AX13+AY13+AZ13+BA13+BF13+BG13+BH13)/60+SUM(AL13+BZ13)/50</f>
        <v/>
      </c>
      <c r="CQ13" s="38">
        <f>SUM(R13+S13+BN13+CD13+CE13)/65+SUM(AB13)/36+SUM(AR13+AS13+BW13+BX13+CL13+CM13)/40+SUM(BB13+BC13+BI13+BJ13)/60</f>
        <v/>
      </c>
      <c r="CR13" s="38">
        <f>SUM(Z13+AA13)/44</f>
        <v/>
      </c>
      <c r="CS13" s="38">
        <f>SUM(T13)/65+SUM(AC13+AD13)/40+SUM(AT13+AU13)/54</f>
        <v/>
      </c>
      <c r="CT13" s="38">
        <f>SUM(BY13+CN13)/45</f>
        <v/>
      </c>
      <c r="CU13" s="83">
        <f>SUM(U13)/75+SUM(CA13)/60</f>
        <v/>
      </c>
      <c r="CV13" s="155">
        <f>CV12+B13-L13</f>
        <v/>
      </c>
      <c r="CW13" s="155">
        <f>CW12+C13-M13</f>
        <v/>
      </c>
      <c r="CX13" s="155">
        <f>CX12+D13-N13</f>
        <v/>
      </c>
      <c r="CY13" s="155">
        <f>CY12+E13-O13</f>
        <v/>
      </c>
      <c r="CZ13" s="155">
        <f>CZ12+F13-P13</f>
        <v/>
      </c>
      <c r="DA13" s="155">
        <f>DA12+G13-Q13</f>
        <v/>
      </c>
      <c r="DB13" s="155">
        <f>DB12+H13-R13</f>
        <v/>
      </c>
      <c r="DC13" s="155">
        <f>DC12+I13-S13</f>
        <v/>
      </c>
      <c r="DD13" s="155">
        <f>DD12+J13-T13</f>
        <v/>
      </c>
      <c r="DE13" s="156" t="n"/>
    </row>
    <row r="14" ht="20.25" customHeight="1">
      <c r="A14" s="61" t="n"/>
      <c r="B14" s="151" t="n"/>
      <c r="C14" s="151" t="n"/>
      <c r="D14" s="151" t="n"/>
      <c r="E14" s="151" t="n"/>
      <c r="F14" s="151" t="n"/>
      <c r="G14" s="151" t="n"/>
      <c r="H14" s="151" t="n"/>
      <c r="I14" s="151" t="n"/>
      <c r="J14" s="151" t="n"/>
      <c r="K14" s="65" t="n"/>
      <c r="L14" s="63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52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52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62" t="n"/>
      <c r="BE14" s="62" t="n"/>
      <c r="BF14" s="62" t="n"/>
      <c r="BG14" s="62" t="n"/>
      <c r="BH14" s="62" t="n"/>
      <c r="BI14" s="62" t="n"/>
      <c r="BJ14" s="62" t="n"/>
      <c r="BK14" s="66" t="n"/>
      <c r="BL14" s="66" t="n"/>
      <c r="BM14" s="66" t="n"/>
      <c r="BN14" s="66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52" t="n"/>
      <c r="BZ14" s="153" t="n"/>
      <c r="CA14" s="153" t="n"/>
      <c r="CB14" s="66" t="n"/>
      <c r="CC14" s="154" t="n"/>
      <c r="CD14" s="66" t="n"/>
      <c r="CE14" s="66" t="n"/>
      <c r="CF14" s="69" t="n"/>
      <c r="CG14" s="69" t="n"/>
      <c r="CH14" s="69" t="n"/>
      <c r="CI14" s="69" t="n"/>
      <c r="CJ14" s="69" t="n"/>
      <c r="CK14" s="69" t="n"/>
      <c r="CL14" s="69" t="n"/>
      <c r="CM14" s="17" t="n"/>
      <c r="CN14" s="17" t="n"/>
      <c r="CO14" s="38">
        <f>SUM(L14+M14+N14+BK14)/65+SUM(V14+W14)/44+SUM(AE14+AF14+AG14+AH14+AI14+BO14+BP14+BQ14+CF14+CG14)/45+SUM(AV14+AW14+BD14+BE14)/60</f>
        <v/>
      </c>
      <c r="CP14" s="38">
        <f>SUM(O14+P14+Q14+BL14+BM14+CB14+CC14)/65+SUM(X14+Y14)/44+SUM(AJ14+AK14+AM14+AN14+AO14+AP14+AQ14+BR14+BS14+BT14+BU14+BV14+CH14+CI14+CJ14+CK14)/45+SUM(AX14+AY14+AZ14+BA14+BF14+BG14+BH14)/60+SUM(AL14+BZ14)/50</f>
        <v/>
      </c>
      <c r="CQ14" s="38">
        <f>SUM(R14+S14+BN14+CD14+CE14)/65+SUM(AB14)/36+SUM(AR14+AS14+BW14+BX14+CL14+CM14)/40+SUM(BB14+BC14+BI14+BJ14)/60</f>
        <v/>
      </c>
      <c r="CR14" s="38">
        <f>SUM(Z14+AA14)/44</f>
        <v/>
      </c>
      <c r="CS14" s="38">
        <f>SUM(T14)/65+SUM(AC14+AD14)/40+SUM(AT14+AU14)/54</f>
        <v/>
      </c>
      <c r="CT14" s="38">
        <f>SUM(BY14+CN14)/45</f>
        <v/>
      </c>
      <c r="CU14" s="83">
        <f>SUM(U14)/75+SUM(CA14)/60</f>
        <v/>
      </c>
      <c r="CV14" s="155">
        <f>CV13+B14-L14</f>
        <v/>
      </c>
      <c r="CW14" s="155">
        <f>CW13+C14-M14</f>
        <v/>
      </c>
      <c r="CX14" s="155">
        <f>CX13+D14-N14</f>
        <v/>
      </c>
      <c r="CY14" s="155">
        <f>CY13+E14-O14</f>
        <v/>
      </c>
      <c r="CZ14" s="155">
        <f>CZ13+F14-P14</f>
        <v/>
      </c>
      <c r="DA14" s="155">
        <f>DA13+G14-Q14</f>
        <v/>
      </c>
      <c r="DB14" s="155">
        <f>DB13+H14-R14</f>
        <v/>
      </c>
      <c r="DC14" s="155">
        <f>DC13+I14-S14</f>
        <v/>
      </c>
      <c r="DD14" s="155">
        <f>DD13+J14-T14</f>
        <v/>
      </c>
      <c r="DE14" s="156" t="n"/>
    </row>
    <row r="15" ht="20.25" customHeight="1">
      <c r="A15" s="61" t="n"/>
      <c r="B15" s="151" t="n"/>
      <c r="C15" s="151" t="n"/>
      <c r="D15" s="151" t="n"/>
      <c r="E15" s="151" t="n"/>
      <c r="F15" s="151" t="n"/>
      <c r="G15" s="151" t="n"/>
      <c r="H15" s="151" t="n"/>
      <c r="I15" s="151" t="n"/>
      <c r="J15" s="151" t="n"/>
      <c r="K15" s="65" t="n"/>
      <c r="L15" s="63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52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52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62" t="n"/>
      <c r="BE15" s="62" t="n"/>
      <c r="BF15" s="62" t="n"/>
      <c r="BG15" s="62" t="n"/>
      <c r="BH15" s="62" t="n"/>
      <c r="BI15" s="62" t="n"/>
      <c r="BJ15" s="62" t="n"/>
      <c r="BK15" s="66" t="n"/>
      <c r="BL15" s="66" t="n"/>
      <c r="BM15" s="66" t="n"/>
      <c r="BN15" s="66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52" t="n"/>
      <c r="BZ15" s="153" t="n"/>
      <c r="CA15" s="153" t="n"/>
      <c r="CB15" s="66" t="n"/>
      <c r="CC15" s="154" t="n"/>
      <c r="CD15" s="66" t="n"/>
      <c r="CE15" s="66" t="n"/>
      <c r="CF15" s="69" t="n"/>
      <c r="CG15" s="69" t="n"/>
      <c r="CH15" s="69" t="n"/>
      <c r="CI15" s="69" t="n"/>
      <c r="CJ15" s="69" t="n"/>
      <c r="CK15" s="69" t="n"/>
      <c r="CL15" s="69" t="n"/>
      <c r="CM15" s="17" t="n"/>
      <c r="CN15" s="17" t="n"/>
      <c r="CO15" s="38">
        <f>SUM(L15+M15+N15+BK15)/65+SUM(V15+W15)/44+SUM(AE15+AF15+AG15+AH15+AI15+BO15+BP15+BQ15+CF15+CG15)/45+SUM(AV15+AW15+BD15+BE15)/60</f>
        <v/>
      </c>
      <c r="CP15" s="38">
        <f>SUM(O15+P15+Q15+BL15+BM15+CB15+CC15)/65+SUM(X15+Y15)/44+SUM(AJ15+AK15+AM15+AN15+AO15+AP15+AQ15+BR15+BS15+BT15+BU15+BV15+CH15+CI15+CJ15+CK15)/45+SUM(AX15+AY15+AZ15+BA15+BF15+BG15+BH15)/60+SUM(AL15+BZ15)/50</f>
        <v/>
      </c>
      <c r="CQ15" s="38">
        <f>SUM(R15+S15+BN15+CD15+CE15)/65+SUM(AB15)/36+SUM(AR15+AS15+BW15+BX15+CL15+CM15)/40+SUM(BB15+BC15+BI15+BJ15)/60</f>
        <v/>
      </c>
      <c r="CR15" s="38">
        <f>SUM(Z15+AA15)/44</f>
        <v/>
      </c>
      <c r="CS15" s="38">
        <f>SUM(T15)/65+SUM(AC15+AD15)/40+SUM(AT15+AU15)/54</f>
        <v/>
      </c>
      <c r="CT15" s="38">
        <f>SUM(BY15+CN15)/45</f>
        <v/>
      </c>
      <c r="CU15" s="83">
        <f>SUM(U15)/75+SUM(CA15)/60</f>
        <v/>
      </c>
      <c r="CV15" s="155">
        <f>CV24+B15-L15</f>
        <v/>
      </c>
      <c r="CW15" s="155">
        <f>CW14+C15-M15</f>
        <v/>
      </c>
      <c r="CX15" s="155">
        <f>CX14+D15-N15</f>
        <v/>
      </c>
      <c r="CY15" s="155">
        <f>CY14+E15-O15</f>
        <v/>
      </c>
      <c r="CZ15" s="155">
        <f>CZ14+F15-P15</f>
        <v/>
      </c>
      <c r="DA15" s="155">
        <f>DA14+G15-Q15</f>
        <v/>
      </c>
      <c r="DB15" s="155">
        <f>DB14+H15-R15</f>
        <v/>
      </c>
      <c r="DC15" s="155">
        <f>DC14+I15-S15</f>
        <v/>
      </c>
      <c r="DD15" s="155">
        <f>DD14+J15-T15</f>
        <v/>
      </c>
      <c r="DE15" s="156" t="n"/>
    </row>
    <row r="16" ht="20.25" customHeight="1">
      <c r="A16" s="61" t="n"/>
      <c r="B16" s="151" t="n"/>
      <c r="C16" s="151" t="n"/>
      <c r="D16" s="151" t="n"/>
      <c r="E16" s="151" t="n"/>
      <c r="F16" s="151" t="n"/>
      <c r="G16" s="151" t="n"/>
      <c r="H16" s="151" t="n"/>
      <c r="I16" s="151" t="n"/>
      <c r="J16" s="151" t="n"/>
      <c r="K16" s="65" t="n"/>
      <c r="L16" s="63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52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52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62" t="n"/>
      <c r="BE16" s="62" t="n"/>
      <c r="BF16" s="62" t="n"/>
      <c r="BG16" s="62" t="n"/>
      <c r="BH16" s="62" t="n"/>
      <c r="BI16" s="62" t="n"/>
      <c r="BJ16" s="62" t="n"/>
      <c r="BK16" s="66" t="n"/>
      <c r="BL16" s="66" t="n"/>
      <c r="BM16" s="66" t="n"/>
      <c r="BN16" s="66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52" t="n"/>
      <c r="BZ16" s="153" t="n"/>
      <c r="CA16" s="153" t="n"/>
      <c r="CB16" s="66" t="n"/>
      <c r="CC16" s="154" t="n"/>
      <c r="CD16" s="66" t="n"/>
      <c r="CE16" s="66" t="n"/>
      <c r="CF16" s="69" t="n"/>
      <c r="CG16" s="69" t="n"/>
      <c r="CH16" s="69" t="n"/>
      <c r="CI16" s="69" t="n"/>
      <c r="CJ16" s="69" t="n"/>
      <c r="CK16" s="69" t="n"/>
      <c r="CL16" s="69" t="n"/>
      <c r="CM16" s="17" t="n"/>
      <c r="CN16" s="17" t="n"/>
      <c r="CO16" s="38">
        <f>SUM(L16+M16+N16+BK16)/65+SUM(V16+W16)/44+SUM(AE16+AF16+AG16+AH16+AI16+BO16+BP16+BQ16+CF16+CG16)/45+SUM(AV16+AW16+BD16+BE16)/60</f>
        <v/>
      </c>
      <c r="CP16" s="38">
        <f>SUM(O16+P16+Q16+BL16+BM16+CB16+CC16)/65+SUM(X16+Y16)/44+SUM(AJ16+AK16+AM16+AN16+AO16+AP16+AQ16+BR16+BS16+BT16+BU16+BV16+CH16+CI16+CJ16+CK16)/45+SUM(AX16+AY16+AZ16+BA16+BF16+BG16+BH16)/60+SUM(AL16+BZ16)/50</f>
        <v/>
      </c>
      <c r="CQ16" s="38">
        <f>SUM(R16+S16+BN16+CD16+CE16)/65+SUM(AB16)/36+SUM(AR16+AS16+BW16+BX16+CL16+CM16)/40+SUM(BB16+BC16+BI16+BJ16)/60</f>
        <v/>
      </c>
      <c r="CR16" s="38">
        <f>SUM(Z16+AA16)/44</f>
        <v/>
      </c>
      <c r="CS16" s="38">
        <f>SUM(T16)/65+SUM(AC16+AD16)/40+SUM(AT16+AU16)/54</f>
        <v/>
      </c>
      <c r="CT16" s="38">
        <f>SUM(BY16+CN16)/45</f>
        <v/>
      </c>
      <c r="CU16" s="83">
        <f>SUM(U16)/75+SUM(CA16)/60</f>
        <v/>
      </c>
      <c r="CV16" s="155">
        <f>CV14+B16-L16</f>
        <v/>
      </c>
      <c r="CW16" s="155">
        <f>CW15+C16-M16</f>
        <v/>
      </c>
      <c r="CX16" s="155">
        <f>CX15+D16-N16</f>
        <v/>
      </c>
      <c r="CY16" s="155">
        <f>CY15+E16-O16</f>
        <v/>
      </c>
      <c r="CZ16" s="155">
        <f>CZ15+F16-P16</f>
        <v/>
      </c>
      <c r="DA16" s="155">
        <f>DA15+G16-Q16</f>
        <v/>
      </c>
      <c r="DB16" s="155">
        <f>DB15+H16-R16</f>
        <v/>
      </c>
      <c r="DC16" s="155">
        <f>DC15+I16-S16</f>
        <v/>
      </c>
      <c r="DD16" s="155">
        <f>DD15+J16-T16</f>
        <v/>
      </c>
      <c r="DE16" s="156" t="n"/>
    </row>
    <row r="17" ht="20.25" customHeight="1">
      <c r="A17" s="61" t="n"/>
      <c r="B17" s="151" t="n"/>
      <c r="C17" s="151" t="n"/>
      <c r="D17" s="151" t="n"/>
      <c r="E17" s="151" t="n"/>
      <c r="F17" s="151" t="n"/>
      <c r="G17" s="151" t="n"/>
      <c r="H17" s="151" t="n"/>
      <c r="I17" s="151" t="n"/>
      <c r="J17" s="151" t="n"/>
      <c r="K17" s="65" t="n"/>
      <c r="L17" s="63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52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52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50" t="n"/>
      <c r="AW17" s="50" t="n"/>
      <c r="AX17" s="50" t="n"/>
      <c r="AY17" s="50" t="n"/>
      <c r="AZ17" s="50" t="n"/>
      <c r="BA17" s="50" t="n"/>
      <c r="BB17" s="50" t="n"/>
      <c r="BC17" s="50" t="n"/>
      <c r="BD17" s="62" t="n"/>
      <c r="BE17" s="62" t="n"/>
      <c r="BF17" s="62" t="n"/>
      <c r="BG17" s="62" t="n"/>
      <c r="BH17" s="62" t="n"/>
      <c r="BI17" s="62" t="n"/>
      <c r="BJ17" s="62" t="n"/>
      <c r="BK17" s="66" t="n"/>
      <c r="BL17" s="66" t="n"/>
      <c r="BM17" s="66" t="n"/>
      <c r="BN17" s="66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52" t="n"/>
      <c r="BZ17" s="153" t="n"/>
      <c r="CA17" s="153" t="n"/>
      <c r="CB17" s="66" t="n"/>
      <c r="CC17" s="154" t="n"/>
      <c r="CD17" s="66" t="n"/>
      <c r="CE17" s="66" t="n"/>
      <c r="CF17" s="69" t="n"/>
      <c r="CG17" s="69" t="n"/>
      <c r="CH17" s="69" t="n"/>
      <c r="CI17" s="69" t="n"/>
      <c r="CJ17" s="69" t="n"/>
      <c r="CK17" s="69" t="n"/>
      <c r="CL17" s="69" t="n"/>
      <c r="CM17" s="17" t="n"/>
      <c r="CN17" s="17" t="n"/>
      <c r="CO17" s="38">
        <f>SUM(L17+M17+N17+BK17)/65+SUM(V17+W17)/44+SUM(AE17+AF17+AG17+AH17+AI17+BO17+BP17+BQ17+CF17+CG17)/45+SUM(AV17+AW17+BD17+BE17)/60</f>
        <v/>
      </c>
      <c r="CP17" s="38">
        <f>SUM(O17+P17+Q17+BL17+BM17+CB17+CC17)/65+SUM(X17+Y17)/44+SUM(AJ17+AK17+AM17+AN17+AO17+AP17+AQ17+BR17+BS17+BT17+BU17+BV17+CH17+CI17+CJ17+CK17)/45+SUM(AX17+AY17+AZ17+BA17+BF17+BG17+BH17)/60+SUM(AL17+BZ17)/50</f>
        <v/>
      </c>
      <c r="CQ17" s="38">
        <f>SUM(R17+S17+BN17+CD17+CE17)/65+SUM(AB17)/36+SUM(AR17+AS17+BW17+BX17+CL17+CM17)/40+SUM(BB17+BC17+BI17+BJ17)/60</f>
        <v/>
      </c>
      <c r="CR17" s="38">
        <f>SUM(Z17+AA17)/44</f>
        <v/>
      </c>
      <c r="CS17" s="38">
        <f>SUM(T17)/65+SUM(AC17+AD17)/40+SUM(AT17+AU17)/54</f>
        <v/>
      </c>
      <c r="CT17" s="38">
        <f>SUM(BY17+CN17)/45</f>
        <v/>
      </c>
      <c r="CU17" s="83">
        <f>SUM(U17)/75+SUM(CA17)/60</f>
        <v/>
      </c>
      <c r="CV17" s="155">
        <f>CV16+B17-L17</f>
        <v/>
      </c>
      <c r="CW17" s="155">
        <f>CW16+C17-M17</f>
        <v/>
      </c>
      <c r="CX17" s="155">
        <f>CX16+D17-N17</f>
        <v/>
      </c>
      <c r="CY17" s="155">
        <f>CY16+E17-O17</f>
        <v/>
      </c>
      <c r="CZ17" s="155">
        <f>CZ16+F17-P17</f>
        <v/>
      </c>
      <c r="DA17" s="155">
        <f>DA16+G17-Q17</f>
        <v/>
      </c>
      <c r="DB17" s="155">
        <f>DB16+H17-R17</f>
        <v/>
      </c>
      <c r="DC17" s="155">
        <f>DC16+I17-S17</f>
        <v/>
      </c>
      <c r="DD17" s="155">
        <f>DD16+J17-T17</f>
        <v/>
      </c>
      <c r="DE17" s="156" t="n"/>
    </row>
    <row r="18" ht="20.25" customHeight="1">
      <c r="A18" s="61" t="n"/>
      <c r="B18" s="151" t="n"/>
      <c r="C18" s="151" t="n"/>
      <c r="D18" s="151" t="n"/>
      <c r="E18" s="151" t="n"/>
      <c r="F18" s="151" t="n"/>
      <c r="G18" s="151" t="n"/>
      <c r="H18" s="151" t="n"/>
      <c r="I18" s="151" t="n"/>
      <c r="J18" s="151" t="n"/>
      <c r="K18" s="65" t="n"/>
      <c r="L18" s="63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52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52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50" t="n"/>
      <c r="AW18" s="50" t="n"/>
      <c r="AX18" s="50" t="n"/>
      <c r="AY18" s="50" t="n"/>
      <c r="AZ18" s="50" t="n"/>
      <c r="BA18" s="50" t="n"/>
      <c r="BB18" s="50" t="n"/>
      <c r="BC18" s="50" t="n"/>
      <c r="BD18" s="62" t="n"/>
      <c r="BE18" s="62" t="n"/>
      <c r="BF18" s="62" t="n"/>
      <c r="BG18" s="62" t="n"/>
      <c r="BH18" s="62" t="n"/>
      <c r="BI18" s="62" t="n"/>
      <c r="BJ18" s="62" t="n"/>
      <c r="BK18" s="66" t="n"/>
      <c r="BL18" s="66" t="n"/>
      <c r="BM18" s="66" t="n"/>
      <c r="BN18" s="66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52" t="n"/>
      <c r="BZ18" s="153" t="n"/>
      <c r="CA18" s="153" t="n"/>
      <c r="CB18" s="66" t="n"/>
      <c r="CC18" s="154" t="n"/>
      <c r="CD18" s="66" t="n"/>
      <c r="CE18" s="66" t="n"/>
      <c r="CF18" s="69" t="n"/>
      <c r="CG18" s="69" t="n"/>
      <c r="CH18" s="69" t="n"/>
      <c r="CI18" s="69" t="n"/>
      <c r="CJ18" s="69" t="n"/>
      <c r="CK18" s="69" t="n"/>
      <c r="CL18" s="69" t="n"/>
      <c r="CM18" s="17" t="n"/>
      <c r="CN18" s="17" t="n"/>
      <c r="CO18" s="38">
        <f>SUM(L18+M18+N18+BK18)/65+SUM(V18+W18)/44+SUM(AE18+AF18+AG18+AH18+AI18+BO18+BP18+BQ18+CF18+CG18)/45+SUM(AV18+AW18+BD18+BE18)/60</f>
        <v/>
      </c>
      <c r="CP18" s="38">
        <f>SUM(O18+P18+Q18+BL18+BM18+CB18+CC18)/65+SUM(X18+Y18)/44+SUM(AJ18+AK18+AM18+AN18+AO18+AP18+AQ18+BR18+BS18+BT18+BU18+BV18+CH18+CI18+CJ18+CK18)/45+SUM(AX18+AY18+AZ18+BA18+BF18+BG18+BH18)/60+SUM(AL18+BZ18)/50</f>
        <v/>
      </c>
      <c r="CQ18" s="38">
        <f>SUM(R18+S18+BN18+CD18+CE18)/65+SUM(AB18)/36+SUM(AR18+AS18+BW18+BX18+CL18+CM18)/40+SUM(BB18+BC18+BI18+BJ18)/60</f>
        <v/>
      </c>
      <c r="CR18" s="38">
        <f>SUM(Z18+AA18)/44</f>
        <v/>
      </c>
      <c r="CS18" s="38">
        <f>SUM(T18)/65+SUM(AC18+AD18)/40+SUM(AT18+AU18)/54</f>
        <v/>
      </c>
      <c r="CT18" s="38">
        <f>SUM(BY18+CN18)/45</f>
        <v/>
      </c>
      <c r="CU18" s="83">
        <f>SUM(U18)/75+SUM(CA18)/60</f>
        <v/>
      </c>
      <c r="CV18" s="155">
        <f>CV9+B18-L18</f>
        <v/>
      </c>
      <c r="CW18" s="155">
        <f>CW17+C18-M18</f>
        <v/>
      </c>
      <c r="CX18" s="155">
        <f>CX17+D18-N18</f>
        <v/>
      </c>
      <c r="CY18" s="155">
        <f>CY17+E18-O18</f>
        <v/>
      </c>
      <c r="CZ18" s="155">
        <f>CZ17+F18-P18</f>
        <v/>
      </c>
      <c r="DA18" s="155">
        <f>DA17+G18-Q18</f>
        <v/>
      </c>
      <c r="DB18" s="155">
        <f>DB17+H18-R18</f>
        <v/>
      </c>
      <c r="DC18" s="155">
        <f>DC17+I18-S18</f>
        <v/>
      </c>
      <c r="DD18" s="155">
        <f>DD17+J18-T18</f>
        <v/>
      </c>
      <c r="DE18" s="156" t="n"/>
    </row>
    <row r="19" ht="20.25" customHeight="1">
      <c r="A19" s="61" t="n"/>
      <c r="B19" s="151" t="n"/>
      <c r="C19" s="151" t="n"/>
      <c r="D19" s="151" t="n"/>
      <c r="E19" s="151" t="n"/>
      <c r="F19" s="151" t="n"/>
      <c r="G19" s="151" t="n"/>
      <c r="H19" s="151" t="n"/>
      <c r="I19" s="151" t="n"/>
      <c r="J19" s="151" t="n"/>
      <c r="K19" s="65" t="n"/>
      <c r="L19" s="63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52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52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50" t="n"/>
      <c r="AW19" s="50" t="n"/>
      <c r="AX19" s="50" t="n"/>
      <c r="AY19" s="50" t="n"/>
      <c r="AZ19" s="50" t="n"/>
      <c r="BA19" s="50" t="n"/>
      <c r="BB19" s="50" t="n"/>
      <c r="BC19" s="50" t="n"/>
      <c r="BD19" s="62" t="n"/>
      <c r="BE19" s="62" t="n"/>
      <c r="BF19" s="62" t="n"/>
      <c r="BG19" s="62" t="n"/>
      <c r="BH19" s="62" t="n"/>
      <c r="BI19" s="62" t="n"/>
      <c r="BJ19" s="62" t="n"/>
      <c r="BK19" s="66" t="n"/>
      <c r="BL19" s="66" t="n"/>
      <c r="BM19" s="66" t="n"/>
      <c r="BN19" s="66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52" t="n"/>
      <c r="BZ19" s="153" t="n"/>
      <c r="CA19" s="153" t="n"/>
      <c r="CB19" s="66" t="n"/>
      <c r="CC19" s="154" t="n"/>
      <c r="CD19" s="66" t="n"/>
      <c r="CE19" s="66" t="n"/>
      <c r="CF19" s="69" t="n"/>
      <c r="CG19" s="69" t="n"/>
      <c r="CH19" s="69" t="n"/>
      <c r="CI19" s="69" t="n"/>
      <c r="CJ19" s="69" t="n"/>
      <c r="CK19" s="69" t="n"/>
      <c r="CL19" s="69" t="n"/>
      <c r="CM19" s="17" t="n"/>
      <c r="CN19" s="17" t="n"/>
      <c r="CO19" s="38">
        <f>SUM(L19+M19+N19+BK19)/65+SUM(V19+W19)/44+SUM(AE19+AF19+AG19+AH19+AI19+BO19+BP19+BQ19+CF19+CG19)/45+SUM(AV19+AW19+BD19+BE19)/60</f>
        <v/>
      </c>
      <c r="CP19" s="38">
        <f>SUM(O19+P19+Q19+BL19+BM19+CB19+CC19)/65+SUM(X19+Y19)/44+SUM(AJ19+AK19+AM19+AN19+AO19+AP19+AQ19+BR19+BS19+BT19+BU19+BV19+CH19+CI19+CJ19+CK19)/45+SUM(AX19+AY19+AZ19+BA19+BF19+BG19+BH19)/60+SUM(AL19+BZ19)/50</f>
        <v/>
      </c>
      <c r="CQ19" s="38">
        <f>SUM(R19+S19+BN19+CD19+CE19)/65+SUM(AB19)/36+SUM(AR19+AS19+BW19+BX19+CL19+CM19)/40+SUM(BB19+BC19+BI19+BJ19)/60</f>
        <v/>
      </c>
      <c r="CR19" s="38">
        <f>SUM(Z19+AA19)/44</f>
        <v/>
      </c>
      <c r="CS19" s="38">
        <f>SUM(T19)/65+SUM(AC19+AD19)/40+SUM(AT19+AU19)/54</f>
        <v/>
      </c>
      <c r="CT19" s="38">
        <f>SUM(BY19+CN19)/45</f>
        <v/>
      </c>
      <c r="CU19" s="83">
        <f>SUM(U19)/75+SUM(CA19)/60</f>
        <v/>
      </c>
      <c r="CV19" s="155">
        <f>CV18+B19-L19</f>
        <v/>
      </c>
      <c r="CW19" s="155">
        <f>CW18+C19-M19</f>
        <v/>
      </c>
      <c r="CX19" s="155">
        <f>CX18+D19-N19</f>
        <v/>
      </c>
      <c r="CY19" s="155">
        <f>CY18+E19-O19</f>
        <v/>
      </c>
      <c r="CZ19" s="155">
        <f>CZ18+F19-P19</f>
        <v/>
      </c>
      <c r="DA19" s="155">
        <f>DA18+G19-Q19</f>
        <v/>
      </c>
      <c r="DB19" s="155">
        <f>DB18+H19-R19</f>
        <v/>
      </c>
      <c r="DC19" s="155">
        <f>DC18+I19-S19</f>
        <v/>
      </c>
      <c r="DD19" s="155">
        <f>DD18+J19-T19</f>
        <v/>
      </c>
      <c r="DE19" s="156" t="n"/>
    </row>
    <row r="20" ht="20.25" customHeight="1">
      <c r="A20" s="61" t="n"/>
      <c r="B20" s="151" t="n"/>
      <c r="C20" s="151" t="n"/>
      <c r="D20" s="151" t="n"/>
      <c r="E20" s="151" t="n"/>
      <c r="F20" s="151" t="n"/>
      <c r="G20" s="151" t="n"/>
      <c r="H20" s="151" t="n"/>
      <c r="I20" s="151" t="n"/>
      <c r="J20" s="151" t="n"/>
      <c r="K20" s="65" t="n"/>
      <c r="L20" s="63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52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52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50" t="n"/>
      <c r="AW20" s="50" t="n"/>
      <c r="AX20" s="50" t="n"/>
      <c r="AY20" s="50" t="n"/>
      <c r="AZ20" s="50" t="n"/>
      <c r="BA20" s="50" t="n"/>
      <c r="BB20" s="50" t="n"/>
      <c r="BC20" s="50" t="n"/>
      <c r="BD20" s="62" t="n"/>
      <c r="BE20" s="62" t="n"/>
      <c r="BF20" s="62" t="n"/>
      <c r="BG20" s="62" t="n"/>
      <c r="BH20" s="62" t="n"/>
      <c r="BI20" s="62" t="n"/>
      <c r="BJ20" s="62" t="n"/>
      <c r="BK20" s="66" t="n"/>
      <c r="BL20" s="66" t="n"/>
      <c r="BM20" s="66" t="n"/>
      <c r="BN20" s="66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52" t="n"/>
      <c r="BZ20" s="153" t="n"/>
      <c r="CA20" s="153" t="n"/>
      <c r="CB20" s="66" t="n"/>
      <c r="CC20" s="154" t="n"/>
      <c r="CD20" s="66" t="n"/>
      <c r="CE20" s="66" t="n"/>
      <c r="CF20" s="69" t="n"/>
      <c r="CG20" s="69" t="n"/>
      <c r="CH20" s="69" t="n"/>
      <c r="CI20" s="69" t="n"/>
      <c r="CJ20" s="69" t="n"/>
      <c r="CK20" s="69" t="n"/>
      <c r="CL20" s="69" t="n"/>
      <c r="CM20" s="17" t="n"/>
      <c r="CN20" s="17" t="n"/>
      <c r="CO20" s="38">
        <f>SUM(L20+M20+N20+BK20)/65+SUM(V20+W20)/44+SUM(AE20+AF20+AG20+AH20+AI20+BO20+BP20+BQ20+CF20+CG20)/45+SUM(AV20+AW20+BD20+BE20)/60</f>
        <v/>
      </c>
      <c r="CP20" s="38">
        <f>SUM(O20+P20+Q20+BL20+BM20+CB20+CC20)/65+SUM(X20+Y20)/44+SUM(AJ20+AK20+AM20+AN20+AO20+AP20+AQ20+BR20+BS20+BT20+BU20+BV20+CH20+CI20+CJ20+CK20)/45+SUM(AX20+AY20+AZ20+BA20+BF20+BG20+BH20)/60+SUM(AL20+BZ20)/50</f>
        <v/>
      </c>
      <c r="CQ20" s="38">
        <f>SUM(R20+S20+BN20+CD20+CE20)/65+SUM(AB20)/36+SUM(AR20+AS20+BW20+BX20+CL20+CM20)/40+SUM(BB20+BC20+BI20+BJ20)/60</f>
        <v/>
      </c>
      <c r="CR20" s="38">
        <f>SUM(Z20+AA20)/44</f>
        <v/>
      </c>
      <c r="CS20" s="38">
        <f>SUM(T20)/65+SUM(AC20+AD20)/40+SUM(AT20+AU20)/54</f>
        <v/>
      </c>
      <c r="CT20" s="38">
        <f>SUM(BY20+CN20)/45</f>
        <v/>
      </c>
      <c r="CU20" s="83">
        <f>SUM(U20)/75+SUM(CA20)/60</f>
        <v/>
      </c>
      <c r="CV20" s="155">
        <f>CV19+B20-L20</f>
        <v/>
      </c>
      <c r="CW20" s="155">
        <f>CW19+C20-M20</f>
        <v/>
      </c>
      <c r="CX20" s="155">
        <f>CX19+D20-N20</f>
        <v/>
      </c>
      <c r="CY20" s="155">
        <f>CY19+E20-O20</f>
        <v/>
      </c>
      <c r="CZ20" s="155">
        <f>CZ19+F20-P20</f>
        <v/>
      </c>
      <c r="DA20" s="155">
        <f>DA19+G20-Q20</f>
        <v/>
      </c>
      <c r="DB20" s="155">
        <f>DB19+H20-R20</f>
        <v/>
      </c>
      <c r="DC20" s="155">
        <f>DC19+I20-S20</f>
        <v/>
      </c>
      <c r="DD20" s="155">
        <f>DD19+J20-T20</f>
        <v/>
      </c>
      <c r="DE20" s="156" t="n"/>
    </row>
    <row r="21" ht="20.25" customHeight="1">
      <c r="A21" s="61" t="n"/>
      <c r="B21" s="151" t="n"/>
      <c r="C21" s="151" t="n"/>
      <c r="D21" s="151" t="n"/>
      <c r="E21" s="151" t="n"/>
      <c r="F21" s="151" t="n"/>
      <c r="G21" s="151" t="n"/>
      <c r="H21" s="151" t="n"/>
      <c r="I21" s="151" t="n"/>
      <c r="J21" s="151" t="n"/>
      <c r="K21" s="65" t="n"/>
      <c r="L21" s="63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52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52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50" t="n"/>
      <c r="AW21" s="50" t="n"/>
      <c r="AX21" s="50" t="n"/>
      <c r="AY21" s="50" t="n"/>
      <c r="AZ21" s="50" t="n"/>
      <c r="BA21" s="50" t="n"/>
      <c r="BB21" s="50" t="n"/>
      <c r="BC21" s="50" t="n"/>
      <c r="BD21" s="62" t="n"/>
      <c r="BE21" s="62" t="n"/>
      <c r="BF21" s="62" t="n"/>
      <c r="BG21" s="62" t="n"/>
      <c r="BH21" s="62" t="n"/>
      <c r="BI21" s="62" t="n"/>
      <c r="BJ21" s="62" t="n"/>
      <c r="BK21" s="66" t="n"/>
      <c r="BL21" s="66" t="n"/>
      <c r="BM21" s="66" t="n"/>
      <c r="BN21" s="66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52" t="n"/>
      <c r="BZ21" s="153" t="n"/>
      <c r="CA21" s="153" t="n"/>
      <c r="CB21" s="66" t="n"/>
      <c r="CC21" s="154" t="n"/>
      <c r="CD21" s="66" t="n"/>
      <c r="CE21" s="66" t="n"/>
      <c r="CF21" s="69" t="n"/>
      <c r="CG21" s="69" t="n"/>
      <c r="CH21" s="69" t="n"/>
      <c r="CI21" s="69" t="n"/>
      <c r="CJ21" s="69" t="n"/>
      <c r="CK21" s="69" t="n"/>
      <c r="CL21" s="69" t="n"/>
      <c r="CM21" s="17" t="n"/>
      <c r="CN21" s="17" t="n"/>
      <c r="CO21" s="38">
        <f>SUM(L21+M21+N21+BK21)/65+SUM(V21+W21)/44+SUM(AE21+AF21+AG21+AH21+AI21+BO21+BP21+BQ21+CF21+CG21)/45+SUM(AV21+AW21+BD21+BE21)/60</f>
        <v/>
      </c>
      <c r="CP21" s="38">
        <f>SUM(O21+P21+Q21+BL21+BM21+CB21+CC21)/65+SUM(X21+Y21)/44+SUM(AJ21+AK21+AM21+AN21+AO21+AP21+AQ21+BR21+BS21+BT21+BU21+BV21+CH21+CI21+CJ21+CK21)/45+SUM(AX21+AY21+AZ21+BA21+BF21+BG21+BH21)/60+SUM(AL21+BZ21)/50</f>
        <v/>
      </c>
      <c r="CQ21" s="38">
        <f>SUM(R21+S21+BN21+CD21+CE21)/65+SUM(AB21)/36+SUM(AR21+AS21+BW21+BX21+CL21+CM21)/40+SUM(BB21+BC21+BI21+BJ21)/60</f>
        <v/>
      </c>
      <c r="CR21" s="38">
        <f>SUM(Z21+AA21)/44</f>
        <v/>
      </c>
      <c r="CS21" s="38">
        <f>SUM(T21)/65+SUM(AC21+AD21)/40+SUM(AT21+AU21)/54</f>
        <v/>
      </c>
      <c r="CT21" s="38">
        <f>SUM(BY21+CN21)/45</f>
        <v/>
      </c>
      <c r="CU21" s="83">
        <f>SUM(U21)/75+SUM(CA21)/60</f>
        <v/>
      </c>
      <c r="CV21" s="155">
        <f>CV20+B21-L21</f>
        <v/>
      </c>
      <c r="CW21" s="155">
        <f>CW20+C21-M21</f>
        <v/>
      </c>
      <c r="CX21" s="155">
        <f>CX20+D21-N21</f>
        <v/>
      </c>
      <c r="CY21" s="155">
        <f>CY20+E21-O21</f>
        <v/>
      </c>
      <c r="CZ21" s="155">
        <f>CZ20+F21-P21</f>
        <v/>
      </c>
      <c r="DA21" s="155">
        <f>DA20+G21-Q21</f>
        <v/>
      </c>
      <c r="DB21" s="155">
        <f>DB20+H21-R21</f>
        <v/>
      </c>
      <c r="DC21" s="155">
        <f>DC20+I21-S21</f>
        <v/>
      </c>
      <c r="DD21" s="155">
        <f>DD20+J21-T21</f>
        <v/>
      </c>
      <c r="DE21" s="156" t="n"/>
    </row>
    <row r="22" ht="20.25" customHeight="1">
      <c r="A22" s="61" t="n"/>
      <c r="B22" s="151" t="n"/>
      <c r="C22" s="151" t="n"/>
      <c r="D22" s="151" t="n"/>
      <c r="E22" s="151" t="n"/>
      <c r="F22" s="151" t="n"/>
      <c r="G22" s="151" t="n"/>
      <c r="H22" s="151" t="n"/>
      <c r="I22" s="151" t="n"/>
      <c r="J22" s="151" t="n"/>
      <c r="K22" s="65" t="n"/>
      <c r="L22" s="63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52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52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50" t="n"/>
      <c r="AW22" s="50" t="n"/>
      <c r="AX22" s="50" t="n"/>
      <c r="AY22" s="50" t="n"/>
      <c r="AZ22" s="50" t="n"/>
      <c r="BA22" s="50" t="n"/>
      <c r="BB22" s="50" t="n"/>
      <c r="BC22" s="50" t="n"/>
      <c r="BD22" s="62" t="n"/>
      <c r="BE22" s="62" t="n"/>
      <c r="BF22" s="62" t="n"/>
      <c r="BG22" s="62" t="n"/>
      <c r="BH22" s="62" t="n"/>
      <c r="BI22" s="62" t="n"/>
      <c r="BJ22" s="62" t="n"/>
      <c r="BK22" s="66" t="n"/>
      <c r="BL22" s="66" t="n"/>
      <c r="BM22" s="66" t="n"/>
      <c r="BN22" s="66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52" t="n"/>
      <c r="BZ22" s="153" t="n"/>
      <c r="CA22" s="153" t="n"/>
      <c r="CB22" s="66" t="n"/>
      <c r="CC22" s="154" t="n"/>
      <c r="CD22" s="66" t="n"/>
      <c r="CE22" s="66" t="n"/>
      <c r="CF22" s="69" t="n"/>
      <c r="CG22" s="69" t="n"/>
      <c r="CH22" s="69" t="n"/>
      <c r="CI22" s="69" t="n"/>
      <c r="CJ22" s="69" t="n"/>
      <c r="CK22" s="69" t="n"/>
      <c r="CL22" s="69" t="n"/>
      <c r="CM22" s="17" t="n"/>
      <c r="CN22" s="17" t="n"/>
      <c r="CO22" s="38">
        <f>SUM(L22+M22+N22+BK22)/65+SUM(V22+W22)/44+SUM(AE22+AF22+AG22+AH22+AI22+BO22+BP22+BQ22+CF22+CG22)/45+SUM(AV22+AW22+BD22+BE22)/60</f>
        <v/>
      </c>
      <c r="CP22" s="38">
        <f>SUM(O22+P22+Q22+BL22+BM22+CB22+CC22)/65+SUM(X22+Y22)/44+SUM(AJ22+AK22+AM22+AN22+AO22+AP22+AQ22+BR22+BS22+BT22+BU22+BV22+CH22+CI22+CJ22+CK22)/45+SUM(AX22+AY22+AZ22+BA22+BF22+BG22+BH22)/60+SUM(AL22+BZ22)/50</f>
        <v/>
      </c>
      <c r="CQ22" s="38">
        <f>SUM(R22+S22+BN22+CD22+CE22)/65+SUM(AB22)/36+SUM(AR22+AS22+BW22+BX22+CL22+CM22)/40+SUM(BB22+BC22+BI22+BJ22)/60</f>
        <v/>
      </c>
      <c r="CR22" s="38">
        <f>SUM(Z22+AA22)/44</f>
        <v/>
      </c>
      <c r="CS22" s="38">
        <f>SUM(T22)/65+SUM(AC22+AD22)/40+SUM(AT22+AU22)/54</f>
        <v/>
      </c>
      <c r="CT22" s="38">
        <f>SUM(BY22+CN22)/45</f>
        <v/>
      </c>
      <c r="CU22" s="83">
        <f>SUM(U22)/75+SUM(CA22)/60</f>
        <v/>
      </c>
      <c r="CV22" s="155">
        <f>CV21+B22-L22</f>
        <v/>
      </c>
      <c r="CW22" s="155">
        <f>CW21+C22-M22</f>
        <v/>
      </c>
      <c r="CX22" s="155">
        <f>CX21+D22-N22</f>
        <v/>
      </c>
      <c r="CY22" s="155">
        <f>CY21+E22-O22</f>
        <v/>
      </c>
      <c r="CZ22" s="155">
        <f>CZ21+F22-P22</f>
        <v/>
      </c>
      <c r="DA22" s="155">
        <f>DA21+G22-Q22</f>
        <v/>
      </c>
      <c r="DB22" s="155">
        <f>DB21+H22-R22</f>
        <v/>
      </c>
      <c r="DC22" s="155">
        <f>DC21+I22-S22</f>
        <v/>
      </c>
      <c r="DD22" s="155">
        <f>DD21+J22-T22</f>
        <v/>
      </c>
      <c r="DE22" s="156" t="n"/>
    </row>
    <row r="23" ht="20.25" customHeight="1">
      <c r="A23" s="61" t="n"/>
      <c r="B23" s="151" t="n"/>
      <c r="C23" s="151" t="n"/>
      <c r="D23" s="151" t="n"/>
      <c r="E23" s="151" t="n"/>
      <c r="F23" s="151" t="n"/>
      <c r="G23" s="151" t="n"/>
      <c r="H23" s="151" t="n"/>
      <c r="I23" s="151" t="n"/>
      <c r="J23" s="151" t="n"/>
      <c r="K23" s="65" t="n"/>
      <c r="L23" s="63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52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52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50" t="n"/>
      <c r="AW23" s="50" t="n"/>
      <c r="AX23" s="50" t="n"/>
      <c r="AY23" s="50" t="n"/>
      <c r="AZ23" s="50" t="n"/>
      <c r="BA23" s="50" t="n"/>
      <c r="BB23" s="50" t="n"/>
      <c r="BC23" s="50" t="n"/>
      <c r="BD23" s="62" t="n"/>
      <c r="BE23" s="62" t="n"/>
      <c r="BF23" s="62" t="n"/>
      <c r="BG23" s="62" t="n"/>
      <c r="BH23" s="62" t="n"/>
      <c r="BI23" s="62" t="n"/>
      <c r="BJ23" s="62" t="n"/>
      <c r="BK23" s="66" t="n"/>
      <c r="BL23" s="66" t="n"/>
      <c r="BM23" s="66" t="n"/>
      <c r="BN23" s="66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52" t="n"/>
      <c r="BZ23" s="153" t="n"/>
      <c r="CA23" s="153" t="n"/>
      <c r="CB23" s="66" t="n"/>
      <c r="CC23" s="154" t="n"/>
      <c r="CD23" s="66" t="n"/>
      <c r="CE23" s="66" t="n"/>
      <c r="CF23" s="69" t="n"/>
      <c r="CG23" s="69" t="n"/>
      <c r="CH23" s="69" t="n"/>
      <c r="CI23" s="69" t="n"/>
      <c r="CJ23" s="69" t="n"/>
      <c r="CK23" s="69" t="n"/>
      <c r="CL23" s="69" t="n"/>
      <c r="CM23" s="17" t="n"/>
      <c r="CN23" s="17" t="n"/>
      <c r="CO23" s="38">
        <f>SUM(L23+M23+N23+BK23)/65+SUM(V23+W23)/44+SUM(AE23+AF23+AG23+AH23+AI23+BO23+BP23+BQ23+CF23+CG23)/45+SUM(AV23+AW23+BD23+BE23)/60</f>
        <v/>
      </c>
      <c r="CP23" s="38">
        <f>SUM(O23+P23+Q23+BL23+BM23+CB23+CC23)/65+SUM(X23+Y23)/44+SUM(AJ23+AK23+AM23+AN23+AO23+AP23+AQ23+BR23+BS23+BT23+BU23+BV23+CH23+CI23+CJ23+CK23)/45+SUM(AX23+AY23+AZ23+BA23+BF23+BG23+BH23)/60+SUM(AL23+BZ23)/50</f>
        <v/>
      </c>
      <c r="CQ23" s="38">
        <f>SUM(R23+S23+BN23+CD23+CE23)/65+SUM(AB23)/36+SUM(AR23+AS23+BW23+BX23+CL23+CM23)/40+SUM(BB23+BC23+BI23+BJ23)/60</f>
        <v/>
      </c>
      <c r="CR23" s="38">
        <f>SUM(Z23+AA23)/44</f>
        <v/>
      </c>
      <c r="CS23" s="38">
        <f>SUM(T23)/65+SUM(AC23+AD23)/40+SUM(AT23+AU23)/54</f>
        <v/>
      </c>
      <c r="CT23" s="38">
        <f>SUM(BY23+CN23)/45</f>
        <v/>
      </c>
      <c r="CU23" s="83">
        <f>SUM(U23)/75+SUM(CA23)/60</f>
        <v/>
      </c>
      <c r="CV23" s="155">
        <f>CV22+B23-L23</f>
        <v/>
      </c>
      <c r="CW23" s="155">
        <f>CW22+C23-M23</f>
        <v/>
      </c>
      <c r="CX23" s="155">
        <f>CX22+D23-N23</f>
        <v/>
      </c>
      <c r="CY23" s="155">
        <f>CY22+E23-O23</f>
        <v/>
      </c>
      <c r="CZ23" s="155">
        <f>CZ22+F23-P23</f>
        <v/>
      </c>
      <c r="DA23" s="155">
        <f>DA22+G23-Q23</f>
        <v/>
      </c>
      <c r="DB23" s="155">
        <f>DB22+H23-R23</f>
        <v/>
      </c>
      <c r="DC23" s="155">
        <f>DC22+I23-S23</f>
        <v/>
      </c>
      <c r="DD23" s="155">
        <f>DD22+J23-T23</f>
        <v/>
      </c>
      <c r="DE23" s="156" t="n"/>
    </row>
    <row r="24" ht="20.25" customHeight="1">
      <c r="A24" s="61" t="n"/>
      <c r="B24" s="151" t="n"/>
      <c r="C24" s="151" t="n"/>
      <c r="D24" s="151" t="n"/>
      <c r="E24" s="151" t="n"/>
      <c r="F24" s="151" t="n"/>
      <c r="G24" s="151" t="n"/>
      <c r="H24" s="151" t="n"/>
      <c r="I24" s="151" t="n"/>
      <c r="J24" s="151" t="n"/>
      <c r="K24" s="65" t="n"/>
      <c r="L24" s="63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52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52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50" t="n"/>
      <c r="AW24" s="50" t="n"/>
      <c r="AX24" s="50" t="n"/>
      <c r="AY24" s="50" t="n"/>
      <c r="AZ24" s="50" t="n"/>
      <c r="BA24" s="50" t="n"/>
      <c r="BB24" s="50" t="n"/>
      <c r="BC24" s="50" t="n"/>
      <c r="BD24" s="62" t="n"/>
      <c r="BE24" s="62" t="n"/>
      <c r="BF24" s="62" t="n"/>
      <c r="BG24" s="62" t="n"/>
      <c r="BH24" s="62" t="n"/>
      <c r="BI24" s="62" t="n"/>
      <c r="BJ24" s="62" t="n"/>
      <c r="BK24" s="66" t="n"/>
      <c r="BL24" s="66" t="n"/>
      <c r="BM24" s="66" t="n"/>
      <c r="BN24" s="66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52" t="n"/>
      <c r="BZ24" s="153" t="n"/>
      <c r="CA24" s="153" t="n"/>
      <c r="CB24" s="66" t="n"/>
      <c r="CC24" s="154" t="n"/>
      <c r="CD24" s="66" t="n"/>
      <c r="CE24" s="66" t="n"/>
      <c r="CF24" s="69" t="n"/>
      <c r="CG24" s="69" t="n"/>
      <c r="CH24" s="69" t="n"/>
      <c r="CI24" s="69" t="n"/>
      <c r="CJ24" s="69" t="n"/>
      <c r="CK24" s="69" t="n"/>
      <c r="CL24" s="69" t="n"/>
      <c r="CM24" s="17" t="n"/>
      <c r="CN24" s="17" t="n"/>
      <c r="CO24" s="38">
        <f>SUM(L24+M24+N24+BK24)/65+SUM(V24+W24)/44+SUM(AE24+AF24+AG24+AH24+AI24+BO24+BP24+BQ24+CF24+CG24)/45+SUM(AV24+AW24+BD24+BE24)/60</f>
        <v/>
      </c>
      <c r="CP24" s="38">
        <f>SUM(O24+P24+Q24+BL24+BM24+CB24+CC24)/65+SUM(X24+Y24)/44+SUM(AJ24+AK24+AM24+AN24+AO24+AP24+AQ24+BR24+BS24+BT24+BU24+BV24+CH24+CI24+CJ24+CK24)/45+SUM(AX24+AY24+AZ24+BA24+BF24+BG24+BH24)/60+SUM(AL24+BZ24)/50</f>
        <v/>
      </c>
      <c r="CQ24" s="38">
        <f>SUM(R24+S24+BN24+CD24+CE24)/65+SUM(AB24)/36+SUM(AR24+AS24+BW24+BX24+CL24+CM24)/40+SUM(BB24+BC24+BI24+BJ24)/60</f>
        <v/>
      </c>
      <c r="CR24" s="38">
        <f>SUM(Z24+AA24)/44</f>
        <v/>
      </c>
      <c r="CS24" s="38">
        <f>SUM(T24)/65+SUM(AC24+AD24)/40+SUM(AT24+AU24)/54</f>
        <v/>
      </c>
      <c r="CT24" s="38">
        <f>SUM(BY24+CN24)/45</f>
        <v/>
      </c>
      <c r="CU24" s="83">
        <f>SUM(U24)/75+SUM(CA24)/60</f>
        <v/>
      </c>
      <c r="CV24" s="155">
        <f>CV23+B24-L24</f>
        <v/>
      </c>
      <c r="CW24" s="155">
        <f>CW23+C24-M24</f>
        <v/>
      </c>
      <c r="CX24" s="155">
        <f>CX23+D24-N24</f>
        <v/>
      </c>
      <c r="CY24" s="155">
        <f>CY23+E24-O24</f>
        <v/>
      </c>
      <c r="CZ24" s="155">
        <f>CZ23+F24-P24</f>
        <v/>
      </c>
      <c r="DA24" s="155">
        <f>DA23+G24-Q24</f>
        <v/>
      </c>
      <c r="DB24" s="155">
        <f>DB23+H24-R24</f>
        <v/>
      </c>
      <c r="DC24" s="155">
        <f>DC23+I24-S24</f>
        <v/>
      </c>
      <c r="DD24" s="155">
        <f>DD23+J24-T24</f>
        <v/>
      </c>
      <c r="DE24" s="156" t="n"/>
    </row>
    <row r="25" ht="20.25" customHeight="1">
      <c r="A25" s="61" t="n"/>
      <c r="B25" s="151" t="n"/>
      <c r="C25" s="151" t="n"/>
      <c r="D25" s="151" t="n"/>
      <c r="E25" s="151" t="n"/>
      <c r="F25" s="151" t="n"/>
      <c r="G25" s="151" t="n"/>
      <c r="H25" s="151" t="n"/>
      <c r="I25" s="151" t="n"/>
      <c r="J25" s="151" t="n"/>
      <c r="K25" s="65" t="n"/>
      <c r="L25" s="63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52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52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50" t="n"/>
      <c r="AW25" s="50" t="n"/>
      <c r="AX25" s="50" t="n"/>
      <c r="AY25" s="50" t="n"/>
      <c r="AZ25" s="50" t="n"/>
      <c r="BA25" s="50" t="n"/>
      <c r="BB25" s="50" t="n"/>
      <c r="BC25" s="50" t="n"/>
      <c r="BD25" s="62" t="n"/>
      <c r="BE25" s="62" t="n"/>
      <c r="BF25" s="62" t="n"/>
      <c r="BG25" s="62" t="n"/>
      <c r="BH25" s="62" t="n"/>
      <c r="BI25" s="62" t="n"/>
      <c r="BJ25" s="62" t="n"/>
      <c r="BK25" s="66" t="n"/>
      <c r="BL25" s="66" t="n"/>
      <c r="BM25" s="66" t="n"/>
      <c r="BN25" s="66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52" t="n"/>
      <c r="BZ25" s="153" t="n"/>
      <c r="CA25" s="153" t="n"/>
      <c r="CB25" s="66" t="n"/>
      <c r="CC25" s="154" t="n"/>
      <c r="CD25" s="66" t="n"/>
      <c r="CE25" s="66" t="n"/>
      <c r="CF25" s="69" t="n"/>
      <c r="CG25" s="69" t="n"/>
      <c r="CH25" s="69" t="n"/>
      <c r="CI25" s="69" t="n"/>
      <c r="CJ25" s="69" t="n"/>
      <c r="CK25" s="69" t="n"/>
      <c r="CL25" s="69" t="n"/>
      <c r="CM25" s="17" t="n"/>
      <c r="CN25" s="17" t="n"/>
      <c r="CO25" s="38">
        <f>SUM(L25+M25+N25+BK25)/65+SUM(V25+W25)/44+SUM(AE25+AF25+AG25+AH25+AI25+BO25+BP25+BQ25+CF25+CG25)/45+SUM(AV25+AW25+BD25+BE25)/60</f>
        <v/>
      </c>
      <c r="CP25" s="38">
        <f>SUM(O25+P25+Q25+BL25+BM25+CB25+CC25)/65+SUM(X25+Y25)/44+SUM(AJ25+AK25+AM25+AN25+AO25+AP25+AQ25+BR25+BS25+BT25+BU25+BV25+CH25+CI25+CJ25+CK25)/45+SUM(AX25+AY25+AZ25+BA25+BF25+BG25+BH25)/60+SUM(AL25+BZ25)/50</f>
        <v/>
      </c>
      <c r="CQ25" s="38">
        <f>SUM(R25+S25+BN25+CD25+CE25)/65+SUM(AB25)/36+SUM(AR25+AS25+BW25+BX25+CL25+CM25)/40+SUM(BB25+BC25+BI25+BJ25)/60</f>
        <v/>
      </c>
      <c r="CR25" s="38">
        <f>SUM(Z25+AA25)/44</f>
        <v/>
      </c>
      <c r="CS25" s="38">
        <f>SUM(T25)/65+SUM(AC25+AD25)/40+SUM(AT25+AU25)/54</f>
        <v/>
      </c>
      <c r="CT25" s="38">
        <f>SUM(BY25+CN25)/45</f>
        <v/>
      </c>
      <c r="CU25" s="83">
        <f>SUM(U25)/75+SUM(CA25)/60</f>
        <v/>
      </c>
      <c r="CV25" s="155">
        <f>CV33+B25-L25</f>
        <v/>
      </c>
      <c r="CW25" s="155">
        <f>CW24+C25-M25</f>
        <v/>
      </c>
      <c r="CX25" s="155">
        <f>CX24+D25-N25</f>
        <v/>
      </c>
      <c r="CY25" s="155">
        <f>CY24+E25-O25</f>
        <v/>
      </c>
      <c r="CZ25" s="155">
        <f>CZ24+F25-P25</f>
        <v/>
      </c>
      <c r="DA25" s="155">
        <f>DA24+G25-Q25</f>
        <v/>
      </c>
      <c r="DB25" s="155">
        <f>DB24+H25-R25</f>
        <v/>
      </c>
      <c r="DC25" s="155">
        <f>DC24+I25-S25</f>
        <v/>
      </c>
      <c r="DD25" s="155">
        <f>DD24+J25-T25</f>
        <v/>
      </c>
      <c r="DE25" s="156" t="n"/>
    </row>
    <row r="26" ht="20.25" customHeight="1">
      <c r="A26" s="61" t="n"/>
      <c r="B26" s="151" t="n"/>
      <c r="C26" s="151" t="n"/>
      <c r="D26" s="151" t="n"/>
      <c r="E26" s="151" t="n"/>
      <c r="F26" s="151" t="n"/>
      <c r="G26" s="151" t="n"/>
      <c r="H26" s="151" t="n"/>
      <c r="I26" s="151" t="n"/>
      <c r="J26" s="151" t="n"/>
      <c r="K26" s="65" t="n"/>
      <c r="L26" s="63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52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52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50" t="n"/>
      <c r="AW26" s="50" t="n"/>
      <c r="AX26" s="50" t="n"/>
      <c r="AY26" s="50" t="n"/>
      <c r="AZ26" s="50" t="n"/>
      <c r="BA26" s="50" t="n"/>
      <c r="BB26" s="50" t="n"/>
      <c r="BC26" s="50" t="n"/>
      <c r="BD26" s="62" t="n"/>
      <c r="BE26" s="62" t="n"/>
      <c r="BF26" s="62" t="n"/>
      <c r="BG26" s="62" t="n"/>
      <c r="BH26" s="62" t="n"/>
      <c r="BI26" s="62" t="n"/>
      <c r="BJ26" s="62" t="n"/>
      <c r="BK26" s="66" t="n"/>
      <c r="BL26" s="66" t="n"/>
      <c r="BM26" s="66" t="n"/>
      <c r="BN26" s="66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52" t="n"/>
      <c r="BZ26" s="153" t="n"/>
      <c r="CA26" s="153" t="n"/>
      <c r="CB26" s="66" t="n"/>
      <c r="CC26" s="154" t="n"/>
      <c r="CD26" s="66" t="n"/>
      <c r="CE26" s="66" t="n"/>
      <c r="CF26" s="69" t="n"/>
      <c r="CG26" s="69" t="n"/>
      <c r="CH26" s="69" t="n"/>
      <c r="CI26" s="69" t="n"/>
      <c r="CJ26" s="69" t="n"/>
      <c r="CK26" s="69" t="n"/>
      <c r="CL26" s="69" t="n"/>
      <c r="CM26" s="17" t="n"/>
      <c r="CN26" s="17" t="n"/>
      <c r="CO26" s="38">
        <f>SUM(L26+M26+N26+BK26)/65+SUM(V26+W26)/44+SUM(AE26+AF26+AG26+AH26+AI26+BO26+BP26+BQ26+CF26+CG26)/45+SUM(AV26+AW26+BD26+BE26)/60</f>
        <v/>
      </c>
      <c r="CP26" s="38">
        <f>SUM(O26+P26+Q26+BL26+BM26+CB26+CC26)/65+SUM(X26+Y26)/44+SUM(AJ26+AK26+AM26+AN26+AO26+AP26+AQ26+BR26+BS26+BT26+BU26+BV26+CH26+CI26+CJ26+CK26)/45+SUM(AX26+AY26+AZ26+BA26+BF26+BG26+BH26)/60+SUM(AL26+BZ26)/50</f>
        <v/>
      </c>
      <c r="CQ26" s="38">
        <f>SUM(R26+S26+BN26+CD26+CE26)/65+SUM(AB26)/36+SUM(AR26+AS26+BW26+BX26+CL26+CM26)/40+SUM(BB26+BC26+BI26+BJ26)/60</f>
        <v/>
      </c>
      <c r="CR26" s="38">
        <f>SUM(Z26+AA26)/44</f>
        <v/>
      </c>
      <c r="CS26" s="38">
        <f>SUM(T26)/65+SUM(AC26+AD26)/40+SUM(AT26+AU26)/54</f>
        <v/>
      </c>
      <c r="CT26" s="38">
        <f>SUM(BY26+CN26)/45</f>
        <v/>
      </c>
      <c r="CU26" s="83">
        <f>SUM(U26)/75+SUM(CA26)/60</f>
        <v/>
      </c>
      <c r="CV26" s="155">
        <f>CV34+B26-L26</f>
        <v/>
      </c>
      <c r="CW26" s="155">
        <f>CW25+C26-M26</f>
        <v/>
      </c>
      <c r="CX26" s="155">
        <f>CX25+D26-N26</f>
        <v/>
      </c>
      <c r="CY26" s="155">
        <f>CY25+E26-O26</f>
        <v/>
      </c>
      <c r="CZ26" s="155">
        <f>CZ25+F26-P26</f>
        <v/>
      </c>
      <c r="DA26" s="155">
        <f>DA25+G26-Q26</f>
        <v/>
      </c>
      <c r="DB26" s="155">
        <f>DB25+H26-R26</f>
        <v/>
      </c>
      <c r="DC26" s="155">
        <f>DC25+I26-S26</f>
        <v/>
      </c>
      <c r="DD26" s="155">
        <f>DD25+J26-T26</f>
        <v/>
      </c>
      <c r="DE26" s="156" t="n"/>
    </row>
    <row r="27" ht="20.25" customHeight="1">
      <c r="A27" s="6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65" t="n"/>
      <c r="L27" s="63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52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52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50" t="n"/>
      <c r="AW27" s="50" t="n"/>
      <c r="AX27" s="50" t="n"/>
      <c r="AY27" s="50" t="n"/>
      <c r="AZ27" s="50" t="n"/>
      <c r="BA27" s="50" t="n"/>
      <c r="BB27" s="50" t="n"/>
      <c r="BC27" s="50" t="n"/>
      <c r="BD27" s="62" t="n"/>
      <c r="BE27" s="62" t="n"/>
      <c r="BF27" s="62" t="n"/>
      <c r="BG27" s="62" t="n"/>
      <c r="BH27" s="62" t="n"/>
      <c r="BI27" s="62" t="n"/>
      <c r="BJ27" s="62" t="n"/>
      <c r="BK27" s="66" t="n"/>
      <c r="BL27" s="66" t="n"/>
      <c r="BM27" s="66" t="n"/>
      <c r="BN27" s="66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52" t="n"/>
      <c r="BZ27" s="153" t="n"/>
      <c r="CA27" s="153" t="n"/>
      <c r="CB27" s="66" t="n"/>
      <c r="CC27" s="154" t="n"/>
      <c r="CD27" s="66" t="n"/>
      <c r="CE27" s="66" t="n"/>
      <c r="CF27" s="69" t="n"/>
      <c r="CG27" s="69" t="n"/>
      <c r="CH27" s="69" t="n"/>
      <c r="CI27" s="69" t="n"/>
      <c r="CJ27" s="69" t="n"/>
      <c r="CK27" s="69" t="n"/>
      <c r="CL27" s="69" t="n"/>
      <c r="CM27" s="17" t="n"/>
      <c r="CN27" s="17" t="n"/>
      <c r="CO27" s="38">
        <f>SUM(L27+M27+N27+BK27)/65+SUM(V27+W27)/44+SUM(AE27+AF27+AG27+AH27+AI27+BO27+BP27+BQ27+CF27+CG27)/45+SUM(AV27+AW27+BD27+BE27)/60</f>
        <v/>
      </c>
      <c r="CP27" s="38">
        <f>SUM(O27+P27+Q27+BL27+BM27+CB27+CC27)/65+SUM(X27+Y27)/44+SUM(AJ27+AK27+AM27+AN27+AO27+AP27+AQ27+BR27+BS27+BT27+BU27+BV27+CH27+CI27+CJ27+CK27)/45+SUM(AX27+AY27+AZ27+BA27+BF27+BG27+BH27)/60+SUM(AL27+BZ27)/50</f>
        <v/>
      </c>
      <c r="CQ27" s="38">
        <f>SUM(R27+S27+BN27+CD27+CE27)/65+SUM(AB27)/36+SUM(AR27+AS27+BW27+BX27+CL27+CM27)/40+SUM(BB27+BC27+BI27+BJ27)/60</f>
        <v/>
      </c>
      <c r="CR27" s="38">
        <f>SUM(Z27+AA27)/44</f>
        <v/>
      </c>
      <c r="CS27" s="38">
        <f>SUM(T27)/65+SUM(AC27+AD27)/40+SUM(AT27+AU27)/54</f>
        <v/>
      </c>
      <c r="CT27" s="38">
        <f>SUM(BY27+CN27)/45</f>
        <v/>
      </c>
      <c r="CU27" s="83">
        <f>SUM(U27)/75+SUM(CA27)/60</f>
        <v/>
      </c>
      <c r="CV27" s="155">
        <f>CV15+B27-L27</f>
        <v/>
      </c>
      <c r="CW27" s="155">
        <f>CW26+C27-M27</f>
        <v/>
      </c>
      <c r="CX27" s="155">
        <f>CX26+D27-N27</f>
        <v/>
      </c>
      <c r="CY27" s="155">
        <f>CY26+E27-O27</f>
        <v/>
      </c>
      <c r="CZ27" s="155">
        <f>CZ26+F27-P27</f>
        <v/>
      </c>
      <c r="DA27" s="155">
        <f>DA26+G27-Q27</f>
        <v/>
      </c>
      <c r="DB27" s="155">
        <f>DB26+H27-R27</f>
        <v/>
      </c>
      <c r="DC27" s="155">
        <f>DC26+I27-S27</f>
        <v/>
      </c>
      <c r="DD27" s="155">
        <f>DD26+J27-T27</f>
        <v/>
      </c>
      <c r="DE27" s="156" t="n"/>
    </row>
    <row r="28" ht="20.25" customHeight="1">
      <c r="A28" s="6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65" t="n"/>
      <c r="L28" s="63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52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52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50" t="n"/>
      <c r="AW28" s="50" t="n"/>
      <c r="AX28" s="50" t="n"/>
      <c r="AY28" s="50" t="n"/>
      <c r="AZ28" s="50" t="n"/>
      <c r="BA28" s="50" t="n"/>
      <c r="BB28" s="50" t="n"/>
      <c r="BC28" s="50" t="n"/>
      <c r="BD28" s="62" t="n"/>
      <c r="BE28" s="62" t="n"/>
      <c r="BF28" s="62" t="n"/>
      <c r="BG28" s="62" t="n"/>
      <c r="BH28" s="62" t="n"/>
      <c r="BI28" s="62" t="n"/>
      <c r="BJ28" s="62" t="n"/>
      <c r="BK28" s="66" t="n"/>
      <c r="BL28" s="66" t="n"/>
      <c r="BM28" s="66" t="n"/>
      <c r="BN28" s="66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52" t="n"/>
      <c r="BZ28" s="153" t="n"/>
      <c r="CA28" s="153" t="n"/>
      <c r="CB28" s="66" t="n"/>
      <c r="CC28" s="154" t="n"/>
      <c r="CD28" s="66" t="n"/>
      <c r="CE28" s="66" t="n"/>
      <c r="CF28" s="69" t="n"/>
      <c r="CG28" s="69" t="n"/>
      <c r="CH28" s="69" t="n"/>
      <c r="CI28" s="69" t="n"/>
      <c r="CJ28" s="69" t="n"/>
      <c r="CK28" s="69" t="n"/>
      <c r="CL28" s="69" t="n"/>
      <c r="CM28" s="17" t="n"/>
      <c r="CN28" s="17" t="n"/>
      <c r="CO28" s="38">
        <f>SUM(L28+M28+N28+BK28)/65+SUM(V28+W28)/44+SUM(AE28+AF28+AG28+AH28+AI28+BO28+BP28+BQ28+CF28+CG28)/45+SUM(AV28+AW28+BD28+BE28)/60</f>
        <v/>
      </c>
      <c r="CP28" s="38">
        <f>SUM(O28+P28+Q28+BL28+BM28+CB28+CC28)/65+SUM(X28+Y28)/44+SUM(AJ28+AK28+AM28+AN28+AO28+AP28+AQ28+BR28+BS28+BT28+BU28+BV28+CH28+CI28+CJ28+CK28)/45+SUM(AX28+AY28+AZ28+BA28+BF28+BG28+BH28)/60+SUM(AL28+BZ28)/50</f>
        <v/>
      </c>
      <c r="CQ28" s="38">
        <f>SUM(R28+S28+BN28+CD28+CE28)/65+SUM(AB28)/36+SUM(AR28+AS28+BW28+BX28+CL28+CM28)/40+SUM(BB28+BC28+BI28+BJ28)/60</f>
        <v/>
      </c>
      <c r="CR28" s="38">
        <f>SUM(Z28+AA28)/44</f>
        <v/>
      </c>
      <c r="CS28" s="38">
        <f>SUM(T28)/65+SUM(AC28+AD28)/40+SUM(AT28+AU28)/54</f>
        <v/>
      </c>
      <c r="CT28" s="38">
        <f>SUM(BY28+CN28)/45</f>
        <v/>
      </c>
      <c r="CU28" s="83">
        <f>SUM(U28)/75+SUM(CA28)/60</f>
        <v/>
      </c>
      <c r="CV28" s="155">
        <f>CV27+B28-L28</f>
        <v/>
      </c>
      <c r="CW28" s="155">
        <f>CW27+C28-M28</f>
        <v/>
      </c>
      <c r="CX28" s="155">
        <f>CX27+D28-N28</f>
        <v/>
      </c>
      <c r="CY28" s="155">
        <f>CY27+E28-O28</f>
        <v/>
      </c>
      <c r="CZ28" s="155">
        <f>CZ27+F28-P28</f>
        <v/>
      </c>
      <c r="DA28" s="155">
        <f>DA27+G28-Q28</f>
        <v/>
      </c>
      <c r="DB28" s="155">
        <f>DB27+H28-R28</f>
        <v/>
      </c>
      <c r="DC28" s="155">
        <f>DC27+I28-S28</f>
        <v/>
      </c>
      <c r="DD28" s="155">
        <f>DD27+J28-T28</f>
        <v/>
      </c>
      <c r="DE28" s="156" t="n"/>
    </row>
    <row r="29" ht="20.25" customHeight="1">
      <c r="A29" s="61" t="n"/>
      <c r="B29" s="151" t="n"/>
      <c r="C29" s="151" t="n"/>
      <c r="D29" s="151" t="n"/>
      <c r="E29" s="151" t="n"/>
      <c r="F29" s="151" t="n"/>
      <c r="G29" s="151" t="n"/>
      <c r="H29" s="151" t="n"/>
      <c r="I29" s="151" t="n"/>
      <c r="J29" s="151" t="n"/>
      <c r="K29" s="65" t="n"/>
      <c r="L29" s="63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52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52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50" t="n"/>
      <c r="AW29" s="50" t="n"/>
      <c r="AX29" s="50" t="n"/>
      <c r="AY29" s="50" t="n"/>
      <c r="AZ29" s="50" t="n"/>
      <c r="BA29" s="50" t="n"/>
      <c r="BB29" s="50" t="n"/>
      <c r="BC29" s="50" t="n"/>
      <c r="BD29" s="62" t="n"/>
      <c r="BE29" s="62" t="n"/>
      <c r="BF29" s="62" t="n"/>
      <c r="BG29" s="62" t="n"/>
      <c r="BH29" s="62" t="n"/>
      <c r="BI29" s="62" t="n"/>
      <c r="BJ29" s="62" t="n"/>
      <c r="BK29" s="66" t="n"/>
      <c r="BL29" s="66" t="n"/>
      <c r="BM29" s="66" t="n"/>
      <c r="BN29" s="66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52" t="n"/>
      <c r="BZ29" s="153" t="n"/>
      <c r="CA29" s="153" t="n"/>
      <c r="CB29" s="66" t="n"/>
      <c r="CC29" s="154" t="n"/>
      <c r="CD29" s="66" t="n"/>
      <c r="CE29" s="66" t="n"/>
      <c r="CF29" s="69" t="n"/>
      <c r="CG29" s="69" t="n"/>
      <c r="CH29" s="69" t="n"/>
      <c r="CI29" s="69" t="n"/>
      <c r="CJ29" s="69" t="n"/>
      <c r="CK29" s="69" t="n"/>
      <c r="CL29" s="69" t="n"/>
      <c r="CM29" s="17" t="n"/>
      <c r="CN29" s="17" t="n"/>
      <c r="CO29" s="38">
        <f>SUM(L29+M29+N29+BK29)/65+SUM(V29+W29)/44+SUM(AE29+AF29+AG29+AH29+AI29+BO29+BP29+BQ29+CF29+CG29)/45+SUM(AV29+AW29+BD29+BE29)/60</f>
        <v/>
      </c>
      <c r="CP29" s="38">
        <f>SUM(O29+P29+Q29+BL29+BM29+CB29+CC29)/65+SUM(X29+Y29)/44+SUM(AJ29+AK29+AM29+AN29+AO29+AP29+AQ29+BR29+BS29+BT29+BU29+BV29+CH29+CI29+CJ29+CK29)/45+SUM(AX29+AY29+AZ29+BA29+BF29+BG29+BH29)/60+SUM(AL29+BZ29)/50</f>
        <v/>
      </c>
      <c r="CQ29" s="38">
        <f>SUM(R29+S29+BN29+CD29+CE29)/65+SUM(AB29)/36+SUM(AR29+AS29+BW29+BX29+CL29+CM29)/40+SUM(BB29+BC29+BI29+BJ29)/60</f>
        <v/>
      </c>
      <c r="CR29" s="38">
        <f>SUM(Z29+AA29)/44</f>
        <v/>
      </c>
      <c r="CS29" s="38">
        <f>SUM(T29)/65+SUM(AC29+AD29)/40+SUM(AT29+AU29)/54</f>
        <v/>
      </c>
      <c r="CT29" s="38">
        <f>SUM(BY29+CN29)/45</f>
        <v/>
      </c>
      <c r="CU29" s="83">
        <f>SUM(U29)/75+SUM(CA29)/60</f>
        <v/>
      </c>
      <c r="CV29" s="155">
        <f>CV28+B29-L29</f>
        <v/>
      </c>
      <c r="CW29" s="155">
        <f>CW28+C29-M29</f>
        <v/>
      </c>
      <c r="CX29" s="155">
        <f>CX28+D29-N29</f>
        <v/>
      </c>
      <c r="CY29" s="155">
        <f>CY28+E29-O29</f>
        <v/>
      </c>
      <c r="CZ29" s="155">
        <f>CZ28+F29-P29</f>
        <v/>
      </c>
      <c r="DA29" s="155">
        <f>DA28+G29-Q29</f>
        <v/>
      </c>
      <c r="DB29" s="155">
        <f>DB28+H29-R29</f>
        <v/>
      </c>
      <c r="DC29" s="155">
        <f>DC28+I29-S29</f>
        <v/>
      </c>
      <c r="DD29" s="155">
        <f>DD28+J29-T29</f>
        <v/>
      </c>
      <c r="DE29" s="156" t="n"/>
    </row>
    <row r="30" ht="20.25" customHeight="1">
      <c r="A30" s="61" t="n"/>
      <c r="B30" s="151" t="n"/>
      <c r="C30" s="151" t="n"/>
      <c r="D30" s="151" t="n"/>
      <c r="E30" s="151" t="n"/>
      <c r="F30" s="151" t="n"/>
      <c r="G30" s="151" t="n"/>
      <c r="H30" s="151" t="n"/>
      <c r="I30" s="151" t="n"/>
      <c r="J30" s="151" t="n"/>
      <c r="K30" s="65" t="n"/>
      <c r="L30" s="63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52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52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62" t="n"/>
      <c r="BE30" s="62" t="n"/>
      <c r="BF30" s="62" t="n"/>
      <c r="BG30" s="62" t="n"/>
      <c r="BH30" s="62" t="n"/>
      <c r="BI30" s="62" t="n"/>
      <c r="BJ30" s="62" t="n"/>
      <c r="BK30" s="66" t="n"/>
      <c r="BL30" s="66" t="n"/>
      <c r="BM30" s="66" t="n"/>
      <c r="BN30" s="66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52" t="n"/>
      <c r="BZ30" s="153" t="n"/>
      <c r="CA30" s="153" t="n"/>
      <c r="CB30" s="66" t="n"/>
      <c r="CC30" s="154" t="n"/>
      <c r="CD30" s="66" t="n"/>
      <c r="CE30" s="66" t="n"/>
      <c r="CF30" s="69" t="n"/>
      <c r="CG30" s="69" t="n"/>
      <c r="CH30" s="69" t="n"/>
      <c r="CI30" s="69" t="n"/>
      <c r="CJ30" s="69" t="n"/>
      <c r="CK30" s="69" t="n"/>
      <c r="CL30" s="69" t="n"/>
      <c r="CM30" s="17" t="n"/>
      <c r="CN30" s="17" t="n"/>
      <c r="CO30" s="38">
        <f>SUM(L30+M30+N30+BK30)/65+SUM(V30+W30)/44+SUM(AE30+AF30+AG30+AH30+AI30+BO30+BP30+BQ30+CF30+CG30)/45+SUM(AV30+AW30+BD30+BE30)/60</f>
        <v/>
      </c>
      <c r="CP30" s="38">
        <f>SUM(O30+P30+Q30+BL30+BM30+CB30+CC30)/65+SUM(X30+Y30)/44+SUM(AJ30+AK30+AM30+AN30+AO30+AP30+AQ30+BR30+BS30+BT30+BU30+BV30+CH30+CI30+CJ30+CK30)/45+SUM(AX30+AY30+AZ30+BA30+BF30+BG30+BH30)/60+SUM(AL30+BZ30)/50</f>
        <v/>
      </c>
      <c r="CQ30" s="38">
        <f>SUM(R30+S30+BN30+CD30+CE30)/65+SUM(AB30)/36+SUM(AR30+AS30+BW30+BX30+CL30+CM30)/40+SUM(BB30+BC30+BI30+BJ30)/60</f>
        <v/>
      </c>
      <c r="CR30" s="38">
        <f>SUM(Z30+AA30)/44</f>
        <v/>
      </c>
      <c r="CS30" s="38">
        <f>SUM(T30)/65+SUM(AC30+AD30)/40+SUM(AT30+AU30)/54</f>
        <v/>
      </c>
      <c r="CT30" s="38">
        <f>SUM(BY30+CN30)/45</f>
        <v/>
      </c>
      <c r="CU30" s="83">
        <f>SUM(U30)/75+SUM(CA30)/60</f>
        <v/>
      </c>
      <c r="CV30" s="155">
        <f>CV29+B30-L30</f>
        <v/>
      </c>
      <c r="CW30" s="155">
        <f>CW29+C30-M30</f>
        <v/>
      </c>
      <c r="CX30" s="155">
        <f>CX29+D30-N30</f>
        <v/>
      </c>
      <c r="CY30" s="155">
        <f>CY29+E30-O30</f>
        <v/>
      </c>
      <c r="CZ30" s="155">
        <f>CZ29+F30-P30</f>
        <v/>
      </c>
      <c r="DA30" s="155">
        <f>DA29+G30-Q30</f>
        <v/>
      </c>
      <c r="DB30" s="155">
        <f>DB29+H30-R30</f>
        <v/>
      </c>
      <c r="DC30" s="155">
        <f>DC29+I30-S30</f>
        <v/>
      </c>
      <c r="DD30" s="155">
        <f>DD29+J30-T30</f>
        <v/>
      </c>
      <c r="DE30" s="156" t="n"/>
    </row>
    <row r="31" ht="20.25" customHeight="1">
      <c r="A31" s="6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65" t="n"/>
      <c r="L31" s="63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52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52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50" t="n"/>
      <c r="AW31" s="50" t="n"/>
      <c r="AX31" s="50" t="n"/>
      <c r="AY31" s="50" t="n"/>
      <c r="AZ31" s="50" t="n"/>
      <c r="BA31" s="50" t="n"/>
      <c r="BB31" s="50" t="n"/>
      <c r="BC31" s="50" t="n"/>
      <c r="BD31" s="62" t="n"/>
      <c r="BE31" s="62" t="n"/>
      <c r="BF31" s="62" t="n"/>
      <c r="BG31" s="62" t="n"/>
      <c r="BH31" s="62" t="n"/>
      <c r="BI31" s="62" t="n"/>
      <c r="BJ31" s="62" t="n"/>
      <c r="BK31" s="66" t="n"/>
      <c r="BL31" s="66" t="n"/>
      <c r="BM31" s="66" t="n"/>
      <c r="BN31" s="66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52" t="n"/>
      <c r="BZ31" s="153" t="n"/>
      <c r="CA31" s="153" t="n"/>
      <c r="CB31" s="66" t="n"/>
      <c r="CC31" s="154" t="n"/>
      <c r="CD31" s="66" t="n"/>
      <c r="CE31" s="66" t="n"/>
      <c r="CF31" s="69" t="n"/>
      <c r="CG31" s="69" t="n"/>
      <c r="CH31" s="69" t="n"/>
      <c r="CI31" s="69" t="n"/>
      <c r="CJ31" s="69" t="n"/>
      <c r="CK31" s="69" t="n"/>
      <c r="CL31" s="69" t="n"/>
      <c r="CM31" s="17" t="n"/>
      <c r="CN31" s="17" t="n"/>
      <c r="CO31" s="38">
        <f>SUM(L31+M31+N31+BK31)/65+SUM(V31+W31)/44+SUM(AE31+AF31+AG31+AH31+AI31+BO31+BP31+BQ31+CF31+CG31)/45+SUM(AV31+AW31+BD31+BE31)/60</f>
        <v/>
      </c>
      <c r="CP31" s="38">
        <f>SUM(O31+P31+Q31+BL31+BM31+CB31+CC31)/65+SUM(X31+Y31)/44+SUM(AJ31+AK31+AM31+AN31+AO31+AP31+AQ31+BR31+BS31+BT31+BU31+BV31+CH31+CI31+CJ31+CK31)/45+SUM(AX31+AY31+AZ31+BA31+BF31+BG31+BH31)/60+SUM(AL31+BZ31)/50</f>
        <v/>
      </c>
      <c r="CQ31" s="38">
        <f>SUM(R31+S31+BN31+CD31+CE31)/65+SUM(AB31)/36+SUM(AR31+AS31+BW31+BX31+CL31+CM31)/40+SUM(BB31+BC31+BI31+BJ31)/60</f>
        <v/>
      </c>
      <c r="CR31" s="38">
        <f>SUM(Z31+AA31)/44</f>
        <v/>
      </c>
      <c r="CS31" s="38">
        <f>SUM(T31)/65+SUM(AC31+AD31)/40+SUM(AT31+AU31)/54</f>
        <v/>
      </c>
      <c r="CT31" s="38">
        <f>SUM(BY31+CN31)/45</f>
        <v/>
      </c>
      <c r="CU31" s="83">
        <f>SUM(U31)/75+SUM(CA31)/60</f>
        <v/>
      </c>
      <c r="CV31" s="155">
        <f>CV26+B31-L31</f>
        <v/>
      </c>
      <c r="CW31" s="155">
        <f>CW30+C31-M31</f>
        <v/>
      </c>
      <c r="CX31" s="155">
        <f>CX30+D31-N31</f>
        <v/>
      </c>
      <c r="CY31" s="155">
        <f>CY30+E31-O31</f>
        <v/>
      </c>
      <c r="CZ31" s="155">
        <f>CZ30+F31-P31</f>
        <v/>
      </c>
      <c r="DA31" s="155">
        <f>DA30+G31-Q31</f>
        <v/>
      </c>
      <c r="DB31" s="155">
        <f>DB30+H31-R31</f>
        <v/>
      </c>
      <c r="DC31" s="155">
        <f>DC30+I31-S31</f>
        <v/>
      </c>
      <c r="DD31" s="155">
        <f>DD30+J31-T31</f>
        <v/>
      </c>
      <c r="DE31" s="156" t="n"/>
    </row>
    <row r="32" ht="20.25" customHeight="1">
      <c r="A32" s="6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65" t="n"/>
      <c r="L32" s="63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52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52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50" t="n"/>
      <c r="AW32" s="50" t="n"/>
      <c r="AX32" s="50" t="n"/>
      <c r="AY32" s="50" t="n"/>
      <c r="AZ32" s="50" t="n"/>
      <c r="BA32" s="50" t="n"/>
      <c r="BB32" s="50" t="n"/>
      <c r="BC32" s="50" t="n"/>
      <c r="BD32" s="62" t="n"/>
      <c r="BE32" s="62" t="n"/>
      <c r="BF32" s="62" t="n"/>
      <c r="BG32" s="62" t="n"/>
      <c r="BH32" s="62" t="n"/>
      <c r="BI32" s="62" t="n"/>
      <c r="BJ32" s="62" t="n"/>
      <c r="BK32" s="66" t="n"/>
      <c r="BL32" s="66" t="n"/>
      <c r="BM32" s="66" t="n"/>
      <c r="BN32" s="66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52" t="n"/>
      <c r="BZ32" s="153" t="n"/>
      <c r="CA32" s="153" t="n"/>
      <c r="CB32" s="66" t="n"/>
      <c r="CC32" s="154" t="n"/>
      <c r="CD32" s="66" t="n"/>
      <c r="CE32" s="66" t="n"/>
      <c r="CF32" s="69" t="n"/>
      <c r="CG32" s="69" t="n"/>
      <c r="CH32" s="69" t="n"/>
      <c r="CI32" s="69" t="n"/>
      <c r="CJ32" s="69" t="n"/>
      <c r="CK32" s="69" t="n"/>
      <c r="CL32" s="69" t="n"/>
      <c r="CM32" s="17" t="n"/>
      <c r="CN32" s="17" t="n"/>
      <c r="CO32" s="38">
        <f>SUM(L32+M32+N32+BK32)/65+SUM(V32+W32)/44+SUM(AE32+AF32+AG32+AH32+AI32+BO32+BP32+BQ32+CF32+CG32)/45+SUM(AV32+AW32+BD32+BE32)/60</f>
        <v/>
      </c>
      <c r="CP32" s="38">
        <f>SUM(O32+P32+Q32+BL32+BM32+CB32+CC32)/65+SUM(X32+Y32)/44+SUM(AJ32+AK32+AM32+AN32+AO32+AP32+AQ32+BR32+BS32+BT32+BU32+BV32+CH32+CI32+CJ32+CK32)/45+SUM(AX32+AY32+AZ32+BA32+BF32+BG32+BH32)/60+SUM(AL32+BZ32)/50</f>
        <v/>
      </c>
      <c r="CQ32" s="38">
        <f>SUM(R32+S32+BN32+CD32+CE32)/65+SUM(AB32)/36+SUM(AR32+AS32+BW32+BX32+CL32+CM32)/40+SUM(BB32+BC32+BI32+BJ32)/60</f>
        <v/>
      </c>
      <c r="CR32" s="38">
        <f>SUM(Z32+AA32)/44</f>
        <v/>
      </c>
      <c r="CS32" s="38">
        <f>SUM(T32)/65+SUM(AC32+AD32)/40+SUM(AT32+AU32)/54</f>
        <v/>
      </c>
      <c r="CT32" s="38">
        <f>SUM(BY32+CN32)/45</f>
        <v/>
      </c>
      <c r="CU32" s="83">
        <f>SUM(U32)/75+SUM(CA32)/60</f>
        <v/>
      </c>
      <c r="CV32" s="155">
        <f>CV30+B32-L32</f>
        <v/>
      </c>
      <c r="CW32" s="155">
        <f>CW31+C32-M32</f>
        <v/>
      </c>
      <c r="CX32" s="155">
        <f>CX31+D32-N32</f>
        <v/>
      </c>
      <c r="CY32" s="155">
        <f>CY31+E32-O32</f>
        <v/>
      </c>
      <c r="CZ32" s="155">
        <f>CZ31+F32-P32</f>
        <v/>
      </c>
      <c r="DA32" s="155">
        <f>DA31+G32-Q32</f>
        <v/>
      </c>
      <c r="DB32" s="155">
        <f>DB31+H32-R32</f>
        <v/>
      </c>
      <c r="DC32" s="155">
        <f>DC31+I32-S32</f>
        <v/>
      </c>
      <c r="DD32" s="155">
        <f>DD31+J32-T32</f>
        <v/>
      </c>
      <c r="DE32" s="156" t="n"/>
    </row>
    <row r="33" ht="20.25" customHeight="1">
      <c r="A33" s="61" t="n"/>
      <c r="B33" s="151" t="n"/>
      <c r="C33" s="151" t="n"/>
      <c r="D33" s="151" t="n"/>
      <c r="E33" s="151" t="n"/>
      <c r="F33" s="151" t="n"/>
      <c r="G33" s="151" t="n"/>
      <c r="H33" s="151" t="n"/>
      <c r="I33" s="151" t="n"/>
      <c r="J33" s="151" t="n"/>
      <c r="K33" s="65" t="n"/>
      <c r="L33" s="63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52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52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50" t="n"/>
      <c r="AW33" s="50" t="n"/>
      <c r="AX33" s="50" t="n"/>
      <c r="AY33" s="50" t="n"/>
      <c r="AZ33" s="50" t="n"/>
      <c r="BA33" s="50" t="n"/>
      <c r="BB33" s="50" t="n"/>
      <c r="BC33" s="50" t="n"/>
      <c r="BD33" s="62" t="n"/>
      <c r="BE33" s="62" t="n"/>
      <c r="BF33" s="62" t="n"/>
      <c r="BG33" s="62" t="n"/>
      <c r="BH33" s="62" t="n"/>
      <c r="BI33" s="62" t="n"/>
      <c r="BJ33" s="62" t="n"/>
      <c r="BK33" s="66" t="n"/>
      <c r="BL33" s="66" t="n"/>
      <c r="BM33" s="66" t="n"/>
      <c r="BN33" s="66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52" t="n"/>
      <c r="BZ33" s="153" t="n"/>
      <c r="CA33" s="153" t="n"/>
      <c r="CB33" s="66" t="n"/>
      <c r="CC33" s="154" t="n"/>
      <c r="CD33" s="66" t="n"/>
      <c r="CE33" s="66" t="n"/>
      <c r="CF33" s="69" t="n"/>
      <c r="CG33" s="69" t="n"/>
      <c r="CH33" s="69" t="n"/>
      <c r="CI33" s="69" t="n"/>
      <c r="CJ33" s="69" t="n"/>
      <c r="CK33" s="69" t="n"/>
      <c r="CL33" s="69" t="n"/>
      <c r="CM33" s="17" t="n"/>
      <c r="CN33" s="17" t="n"/>
      <c r="CO33" s="38">
        <f>SUM(L33+M33+N33+BK33)/65+SUM(V33+W33)/44+SUM(AE33+AF33+AG33+AH33+AI33+BO33+BP33+BQ33+CF33+CG33)/45+SUM(AV33+AW33+BD33+BE33)/60</f>
        <v/>
      </c>
      <c r="CP33" s="38">
        <f>SUM(O33+P33+Q33+BL33+BM33+CB33+CC33)/65+SUM(X33+Y33)/44+SUM(AJ33+AK33+AM33+AN33+AO33+AP33+AQ33+BR33+BS33+BT33+BU33+BV33+CH33+CI33+CJ33+CK33)/45+SUM(AX33+AY33+AZ33+BA33+BF33+BG33+BH33)/60+SUM(AL33+BZ33)/50</f>
        <v/>
      </c>
      <c r="CQ33" s="38">
        <f>SUM(R33+S33+BN33+CD33+CE33)/65+SUM(AB33)/36+SUM(AR33+AS33+BW33+BX33+CL33+CM33)/40+SUM(BB33+BC33+BI33+BJ33)/60</f>
        <v/>
      </c>
      <c r="CR33" s="38">
        <f>SUM(Z33+AA33)/44</f>
        <v/>
      </c>
      <c r="CS33" s="38">
        <f>SUM(T33)/65+SUM(AC33+AD33)/40+SUM(AT33+AU33)/54</f>
        <v/>
      </c>
      <c r="CT33" s="38">
        <f>SUM(BY33+CN33)/45</f>
        <v/>
      </c>
      <c r="CU33" s="83">
        <f>SUM(U33)/75+SUM(CA33)/60</f>
        <v/>
      </c>
      <c r="CV33" s="155">
        <f>CV32+B33-L33</f>
        <v/>
      </c>
      <c r="CW33" s="155">
        <f>CW32+C33-M33</f>
        <v/>
      </c>
      <c r="CX33" s="155">
        <f>CX32+D33-N33</f>
        <v/>
      </c>
      <c r="CY33" s="155">
        <f>CY32+E33-O33</f>
        <v/>
      </c>
      <c r="CZ33" s="155">
        <f>CZ32+F33-P33</f>
        <v/>
      </c>
      <c r="DA33" s="155">
        <f>DA32+G33-Q33</f>
        <v/>
      </c>
      <c r="DB33" s="155">
        <f>DB32+H33-R33</f>
        <v/>
      </c>
      <c r="DC33" s="155">
        <f>DC32+I33-S33</f>
        <v/>
      </c>
      <c r="DD33" s="155">
        <f>DD32+J33-T33</f>
        <v/>
      </c>
      <c r="DE33" s="156" t="n"/>
    </row>
    <row r="34" ht="20.25" customHeight="1">
      <c r="A34" s="6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65" t="n"/>
      <c r="L34" s="63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52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52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62" t="n"/>
      <c r="BE34" s="62" t="n"/>
      <c r="BF34" s="62" t="n"/>
      <c r="BG34" s="62" t="n"/>
      <c r="BH34" s="62" t="n"/>
      <c r="BI34" s="62" t="n"/>
      <c r="BJ34" s="62" t="n"/>
      <c r="BK34" s="66" t="n"/>
      <c r="BL34" s="66" t="n"/>
      <c r="BM34" s="66" t="n"/>
      <c r="BN34" s="66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52" t="n"/>
      <c r="BZ34" s="153" t="n"/>
      <c r="CA34" s="153" t="n"/>
      <c r="CB34" s="66" t="n"/>
      <c r="CC34" s="154" t="n"/>
      <c r="CD34" s="66" t="n"/>
      <c r="CE34" s="66" t="n"/>
      <c r="CF34" s="69" t="n"/>
      <c r="CG34" s="69" t="n"/>
      <c r="CH34" s="69" t="n"/>
      <c r="CI34" s="69" t="n"/>
      <c r="CJ34" s="69" t="n"/>
      <c r="CK34" s="69" t="n"/>
      <c r="CL34" s="69" t="n"/>
      <c r="CM34" s="17" t="n"/>
      <c r="CN34" s="17" t="n"/>
      <c r="CO34" s="38">
        <f>SUM(L34+M34+N34+BK34)/65+SUM(V34+W34)/44+SUM(AE34+AF34+AG34+AH34+AI34+BO34+BP34+BQ34+CF34+CG34)/45+SUM(AV34+AW34+BD34+BE34)/60</f>
        <v/>
      </c>
      <c r="CP34" s="38">
        <f>SUM(O34+P34+Q34+BL34+BM34+CB34+CC34)/65+SUM(X34+Y34)/44+SUM(AJ34+AK34+AM34+AN34+AO34+AP34+AQ34+BR34+BS34+BT34+BU34+BV34+CH34+CI34+CJ34+CK34)/45+SUM(AX34+AY34+AZ34+BA34+BF34+BG34+BH34)/60+SUM(AL34+BZ34)/50</f>
        <v/>
      </c>
      <c r="CQ34" s="38">
        <f>SUM(R34+S34+BN34+CD34+CE34)/65+SUM(AB34)/36+SUM(AR34+AS34+BW34+BX34+CL34+CM34)/40+SUM(BB34+BC34+BI34+BJ34)/60</f>
        <v/>
      </c>
      <c r="CR34" s="38">
        <f>SUM(Z34+AA34)/44</f>
        <v/>
      </c>
      <c r="CS34" s="38">
        <f>SUM(T34)/65+SUM(AC34+AD34)/40+SUM(AT34+AU34)/54</f>
        <v/>
      </c>
      <c r="CT34" s="38">
        <f>SUM(BY34+CN34)/45</f>
        <v/>
      </c>
      <c r="CU34" s="83">
        <f>SUM(U34)/75+SUM(CA34)/60</f>
        <v/>
      </c>
      <c r="CV34" s="155">
        <f>CV25+B34-L34</f>
        <v/>
      </c>
      <c r="CW34" s="155">
        <f>CW33+C34-M34</f>
        <v/>
      </c>
      <c r="CX34" s="155">
        <f>CX33+D34-N34</f>
        <v/>
      </c>
      <c r="CY34" s="155">
        <f>CY33+E34-O34</f>
        <v/>
      </c>
      <c r="CZ34" s="155">
        <f>CZ33+F34-P34</f>
        <v/>
      </c>
      <c r="DA34" s="155">
        <f>DA33+G34-Q34</f>
        <v/>
      </c>
      <c r="DB34" s="155">
        <f>DB33+H34-R34</f>
        <v/>
      </c>
      <c r="DC34" s="155">
        <f>DC33+I34-S34</f>
        <v/>
      </c>
      <c r="DD34" s="155">
        <f>DD33+J34-T34</f>
        <v/>
      </c>
      <c r="DE34" s="156" t="n"/>
    </row>
    <row r="35" ht="20.25" customHeight="1">
      <c r="A35" s="6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65" t="n"/>
      <c r="L35" s="63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52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52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50" t="n"/>
      <c r="AW35" s="50" t="n"/>
      <c r="AX35" s="50" t="n"/>
      <c r="AY35" s="50" t="n"/>
      <c r="AZ35" s="50" t="n"/>
      <c r="BA35" s="50" t="n"/>
      <c r="BB35" s="50" t="n"/>
      <c r="BC35" s="50" t="n"/>
      <c r="BD35" s="62" t="n"/>
      <c r="BE35" s="62" t="n"/>
      <c r="BF35" s="62" t="n"/>
      <c r="BG35" s="62" t="n"/>
      <c r="BH35" s="62" t="n"/>
      <c r="BI35" s="62" t="n"/>
      <c r="BJ35" s="62" t="n"/>
      <c r="BK35" s="66" t="n"/>
      <c r="BL35" s="66" t="n"/>
      <c r="BM35" s="66" t="n"/>
      <c r="BN35" s="66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52" t="n"/>
      <c r="BZ35" s="153" t="n"/>
      <c r="CA35" s="153" t="n"/>
      <c r="CB35" s="66" t="n"/>
      <c r="CC35" s="154" t="n"/>
      <c r="CD35" s="66" t="n"/>
      <c r="CE35" s="66" t="n"/>
      <c r="CF35" s="69" t="n"/>
      <c r="CG35" s="69" t="n"/>
      <c r="CH35" s="69" t="n"/>
      <c r="CI35" s="69" t="n"/>
      <c r="CJ35" s="69" t="n"/>
      <c r="CK35" s="69" t="n"/>
      <c r="CL35" s="69" t="n"/>
      <c r="CM35" s="17" t="n"/>
      <c r="CN35" s="17" t="n"/>
      <c r="CO35" s="38">
        <f>SUM(L35+M35+N35+BK35)/65+SUM(V35+W35)/44+SUM(AE35+AF35+AG35+AH35+AI35+BO35+BP35+BQ35+CF35+CG35)/45+SUM(AV35+AW35+BD35+BE35)/60</f>
        <v/>
      </c>
      <c r="CP35" s="38">
        <f>SUM(O35+P35+Q35+BL35+BM35+CB35+CC35)/65+SUM(X35+Y35)/44+SUM(AJ35+AK35+AM35+AN35+AO35+AP35+AQ35+BR35+BS35+BT35+BU35+BV35+CH35+CI35+CJ35+CK35)/45+SUM(AX35+AY35+AZ35+BA35+BF35+BG35+BH35)/60+SUM(AL35+BZ35)/50</f>
        <v/>
      </c>
      <c r="CQ35" s="38">
        <f>SUM(R35+S35+BN35+CD35+CE35)/65+SUM(AB35)/36+SUM(AR35+AS35+BW35+BX35+CL35+CM35)/40+SUM(BB35+BC35+BI35+BJ35)/60</f>
        <v/>
      </c>
      <c r="CR35" s="38">
        <f>SUM(Z35+AA35)/44</f>
        <v/>
      </c>
      <c r="CS35" s="38">
        <f>SUM(T35)/65+SUM(AC35+AD35)/40+SUM(AT35+AU35)/54</f>
        <v/>
      </c>
      <c r="CT35" s="38">
        <f>SUM(BY35+CN35)/45</f>
        <v/>
      </c>
      <c r="CU35" s="83">
        <f>SUM(U35)/75+SUM(CA35)/60</f>
        <v/>
      </c>
      <c r="CV35" s="155">
        <f>CV46+B35-L35</f>
        <v/>
      </c>
      <c r="CW35" s="155">
        <f>CW34+C35-M35</f>
        <v/>
      </c>
      <c r="CX35" s="155">
        <f>CX34+D35-N35</f>
        <v/>
      </c>
      <c r="CY35" s="155">
        <f>CY34+E35-O35</f>
        <v/>
      </c>
      <c r="CZ35" s="155">
        <f>CZ34+F35-P35</f>
        <v/>
      </c>
      <c r="DA35" s="155">
        <f>DA34+G35-Q35</f>
        <v/>
      </c>
      <c r="DB35" s="155">
        <f>DB34+H35-R35</f>
        <v/>
      </c>
      <c r="DC35" s="155">
        <f>DC34+I35-S35</f>
        <v/>
      </c>
      <c r="DD35" s="155">
        <f>DD34+J35-T35</f>
        <v/>
      </c>
      <c r="DE35" s="156" t="n"/>
    </row>
    <row r="36" ht="20.25" customHeight="1">
      <c r="A36" s="6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65" t="n"/>
      <c r="L36" s="63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52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52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62" t="n"/>
      <c r="BE36" s="62" t="n"/>
      <c r="BF36" s="62" t="n"/>
      <c r="BG36" s="62" t="n"/>
      <c r="BH36" s="62" t="n"/>
      <c r="BI36" s="62" t="n"/>
      <c r="BJ36" s="62" t="n"/>
      <c r="BK36" s="66" t="n"/>
      <c r="BL36" s="66" t="n"/>
      <c r="BM36" s="66" t="n"/>
      <c r="BN36" s="66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52" t="n"/>
      <c r="BZ36" s="153" t="n"/>
      <c r="CA36" s="153" t="n"/>
      <c r="CB36" s="66" t="n"/>
      <c r="CC36" s="154" t="n"/>
      <c r="CD36" s="66" t="n"/>
      <c r="CE36" s="66" t="n"/>
      <c r="CF36" s="69" t="n"/>
      <c r="CG36" s="69" t="n"/>
      <c r="CH36" s="69" t="n"/>
      <c r="CI36" s="69" t="n"/>
      <c r="CJ36" s="69" t="n"/>
      <c r="CK36" s="69" t="n"/>
      <c r="CL36" s="69" t="n"/>
      <c r="CM36" s="17" t="n"/>
      <c r="CN36" s="17" t="n"/>
      <c r="CO36" s="38">
        <f>SUM(L36+M36+N36+BK36)/65+SUM(V36+W36)/44+SUM(AE36+AF36+AG36+AH36+AI36+BO36+BP36+BQ36+CF36+CG36)/45+SUM(AV36+AW36+BD36+BE36)/60</f>
        <v/>
      </c>
      <c r="CP36" s="38">
        <f>SUM(O36+P36+Q36+BL36+BM36+CB36+CC36)/65+SUM(X36+Y36)/44+SUM(AJ36+AK36+AM36+AN36+AO36+AP36+AQ36+BR36+BS36+BT36+BU36+BV36+CH36+CI36+CJ36+CK36)/45+SUM(AX36+AY36+AZ36+BA36+BF36+BG36+BH36)/60+SUM(AL36+BZ36)/50</f>
        <v/>
      </c>
      <c r="CQ36" s="38">
        <f>SUM(R36+S36+BN36+CD36+CE36)/65+SUM(AB36)/36+SUM(AR36+AS36+BW36+BX36+CL36+CM36)/40+SUM(BB36+BC36+BI36+BJ36)/60</f>
        <v/>
      </c>
      <c r="CR36" s="38">
        <f>SUM(Z36+AA36)/44</f>
        <v/>
      </c>
      <c r="CS36" s="38">
        <f>SUM(T36)/65+SUM(AC36+AD36)/40+SUM(AT36+AU36)/54</f>
        <v/>
      </c>
      <c r="CT36" s="38">
        <f>SUM(BY36+CN36)/45</f>
        <v/>
      </c>
      <c r="CU36" s="83">
        <f>SUM(U36)/75+SUM(CA36)/60</f>
        <v/>
      </c>
      <c r="CV36" s="155">
        <f>CV44+B36-L36</f>
        <v/>
      </c>
      <c r="CW36" s="155">
        <f>CW35+C36-M36</f>
        <v/>
      </c>
      <c r="CX36" s="155">
        <f>CX35+D36-N36</f>
        <v/>
      </c>
      <c r="CY36" s="155">
        <f>CY35+E36-O36</f>
        <v/>
      </c>
      <c r="CZ36" s="155">
        <f>CZ35+F36-P36</f>
        <v/>
      </c>
      <c r="DA36" s="155">
        <f>DA35+G36-Q36</f>
        <v/>
      </c>
      <c r="DB36" s="155">
        <f>DB35+H36-R36</f>
        <v/>
      </c>
      <c r="DC36" s="155">
        <f>DC35+I36-S36</f>
        <v/>
      </c>
      <c r="DD36" s="155">
        <f>DD35+J36-T36</f>
        <v/>
      </c>
      <c r="DE36" s="156" t="n"/>
    </row>
    <row r="37" ht="20.25" customHeight="1">
      <c r="A37" s="6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65" t="n"/>
      <c r="L37" s="63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52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52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50" t="n"/>
      <c r="AW37" s="50" t="n"/>
      <c r="AX37" s="50" t="n"/>
      <c r="AY37" s="50" t="n"/>
      <c r="AZ37" s="50" t="n"/>
      <c r="BA37" s="50" t="n"/>
      <c r="BB37" s="50" t="n"/>
      <c r="BC37" s="50" t="n"/>
      <c r="BD37" s="62" t="n"/>
      <c r="BE37" s="62" t="n"/>
      <c r="BF37" s="62" t="n"/>
      <c r="BG37" s="62" t="n"/>
      <c r="BH37" s="62" t="n"/>
      <c r="BI37" s="62" t="n"/>
      <c r="BJ37" s="62" t="n"/>
      <c r="BK37" s="66" t="n"/>
      <c r="BL37" s="66" t="n"/>
      <c r="BM37" s="66" t="n"/>
      <c r="BN37" s="66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52" t="n"/>
      <c r="BZ37" s="153" t="n"/>
      <c r="CA37" s="153" t="n"/>
      <c r="CB37" s="66" t="n"/>
      <c r="CC37" s="154" t="n"/>
      <c r="CD37" s="66" t="n"/>
      <c r="CE37" s="66" t="n"/>
      <c r="CF37" s="69" t="n"/>
      <c r="CG37" s="69" t="n"/>
      <c r="CH37" s="69" t="n"/>
      <c r="CI37" s="69" t="n"/>
      <c r="CJ37" s="69" t="n"/>
      <c r="CK37" s="69" t="n"/>
      <c r="CL37" s="69" t="n"/>
      <c r="CM37" s="17" t="n"/>
      <c r="CN37" s="17" t="n"/>
      <c r="CO37" s="38">
        <f>SUM(L37+M37+N37+BK37)/65+SUM(V37+W37)/44+SUM(AE37+AF37+AG37+AH37+AI37+BO37+BP37+BQ37+CF37+CG37)/45+SUM(AV37+AW37+BD37+BE37)/60</f>
        <v/>
      </c>
      <c r="CP37" s="38">
        <f>SUM(O37+P37+Q37+BL37+BM37+CB37+CC37)/65+SUM(X37+Y37)/44+SUM(AJ37+AK37+AM37+AN37+AO37+AP37+AQ37+BR37+BS37+BT37+BU37+BV37+CH37+CI37+CJ37+CK37)/45+SUM(AX37+AY37+AZ37+BA37+BF37+BG37+BH37)/60+SUM(AL37+BZ37)/50</f>
        <v/>
      </c>
      <c r="CQ37" s="38">
        <f>SUM(R37+S37+BN37+CD37+CE37)/65+SUM(AB37)/36+SUM(AR37+AS37+BW37+BX37+CL37+CM37)/40+SUM(BB37+BC37+BI37+BJ37)/60</f>
        <v/>
      </c>
      <c r="CR37" s="38">
        <f>SUM(Z37+AA37)/44</f>
        <v/>
      </c>
      <c r="CS37" s="38">
        <f>SUM(T37)/65+SUM(AC37+AD37)/40+SUM(AT37+AU37)/54</f>
        <v/>
      </c>
      <c r="CT37" s="38">
        <f>SUM(BY37+CN37)/45</f>
        <v/>
      </c>
      <c r="CU37" s="83">
        <f>SUM(U37)/75+SUM(CA37)/60</f>
        <v/>
      </c>
      <c r="CV37" s="155">
        <f>CV36+B37-L37</f>
        <v/>
      </c>
      <c r="CW37" s="155">
        <f>CW36+C37-M37</f>
        <v/>
      </c>
      <c r="CX37" s="155">
        <f>CX36+D37-N37</f>
        <v/>
      </c>
      <c r="CY37" s="155">
        <f>CY36+E37-O37</f>
        <v/>
      </c>
      <c r="CZ37" s="155">
        <f>CZ36+F37-P37</f>
        <v/>
      </c>
      <c r="DA37" s="155">
        <f>DA36+G37-Q37</f>
        <v/>
      </c>
      <c r="DB37" s="155">
        <f>DB36+H37-R37</f>
        <v/>
      </c>
      <c r="DC37" s="155">
        <f>DC36+I37-S37</f>
        <v/>
      </c>
      <c r="DD37" s="155">
        <f>DD36+J37-T37</f>
        <v/>
      </c>
      <c r="DE37" s="156" t="n"/>
    </row>
    <row r="38" ht="20.25" customHeight="1">
      <c r="A38" s="6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65" t="n"/>
      <c r="L38" s="63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52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52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62" t="n"/>
      <c r="BE38" s="62" t="n"/>
      <c r="BF38" s="62" t="n"/>
      <c r="BG38" s="62" t="n"/>
      <c r="BH38" s="62" t="n"/>
      <c r="BI38" s="62" t="n"/>
      <c r="BJ38" s="62" t="n"/>
      <c r="BK38" s="66" t="n"/>
      <c r="BL38" s="66" t="n"/>
      <c r="BM38" s="66" t="n"/>
      <c r="BN38" s="66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52" t="n"/>
      <c r="BZ38" s="153" t="n"/>
      <c r="CA38" s="153" t="n"/>
      <c r="CB38" s="66" t="n"/>
      <c r="CC38" s="154" t="n"/>
      <c r="CD38" s="66" t="n"/>
      <c r="CE38" s="66" t="n"/>
      <c r="CF38" s="69" t="n"/>
      <c r="CG38" s="69" t="n"/>
      <c r="CH38" s="69" t="n"/>
      <c r="CI38" s="69" t="n"/>
      <c r="CJ38" s="69" t="n"/>
      <c r="CK38" s="69" t="n"/>
      <c r="CL38" s="69" t="n"/>
      <c r="CM38" s="17" t="n"/>
      <c r="CN38" s="17" t="n"/>
      <c r="CO38" s="38">
        <f>SUM(L38+M38+N38+BK38)/65+SUM(V38+W38)/44+SUM(AE38+AF38+AG38+AH38+AI38+BO38+BP38+BQ38+CF38+CG38)/45+SUM(AV38+AW38+BD38+BE38)/60</f>
        <v/>
      </c>
      <c r="CP38" s="38">
        <f>SUM(O38+P38+Q38+BL38+BM38+CB38+CC38)/65+SUM(X38+Y38)/44+SUM(AJ38+AK38+AM38+AN38+AO38+AP38+AQ38+BR38+BS38+BT38+BU38+BV38+CH38+CI38+CJ38+CK38)/45+SUM(AX38+AY38+AZ38+BA38+BF38+BG38+BH38)/60+SUM(AL38+BZ38)/50</f>
        <v/>
      </c>
      <c r="CQ38" s="38">
        <f>SUM(R38+S38+BN38+CD38+CE38)/65+SUM(AB38)/36+SUM(AR38+AS38+BW38+BX38+CL38+CM38)/40+SUM(BB38+BC38+BI38+BJ38)/60</f>
        <v/>
      </c>
      <c r="CR38" s="38">
        <f>SUM(Z38+AA38)/44</f>
        <v/>
      </c>
      <c r="CS38" s="38">
        <f>SUM(T38)/65+SUM(AC38+AD38)/40+SUM(AT38+AU38)/54</f>
        <v/>
      </c>
      <c r="CT38" s="38">
        <f>SUM(BY38+CN38)/45</f>
        <v/>
      </c>
      <c r="CU38" s="83">
        <f>SUM(U38)/75+SUM(CA38)/60</f>
        <v/>
      </c>
      <c r="CV38" s="155">
        <f>CV31+B38-L38</f>
        <v/>
      </c>
      <c r="CW38" s="155">
        <f>CW37+C38-M38</f>
        <v/>
      </c>
      <c r="CX38" s="155">
        <f>CX37+D38-N38</f>
        <v/>
      </c>
      <c r="CY38" s="155">
        <f>CY37+E38-O38</f>
        <v/>
      </c>
      <c r="CZ38" s="155">
        <f>CZ37+F38-P38</f>
        <v/>
      </c>
      <c r="DA38" s="155">
        <f>DA37+G38-Q38</f>
        <v/>
      </c>
      <c r="DB38" s="155">
        <f>DB37+H38-R38</f>
        <v/>
      </c>
      <c r="DC38" s="155">
        <f>DC37+I38-S38</f>
        <v/>
      </c>
      <c r="DD38" s="155">
        <f>DD37+J38-T38</f>
        <v/>
      </c>
      <c r="DE38" s="156" t="n"/>
    </row>
    <row r="39" ht="20.25" customHeight="1">
      <c r="A39" s="6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65" t="n"/>
      <c r="L39" s="63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52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52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62" t="n"/>
      <c r="BE39" s="62" t="n"/>
      <c r="BF39" s="62" t="n"/>
      <c r="BG39" s="62" t="n"/>
      <c r="BH39" s="62" t="n"/>
      <c r="BI39" s="62" t="n"/>
      <c r="BJ39" s="62" t="n"/>
      <c r="BK39" s="66" t="n"/>
      <c r="BL39" s="66" t="n"/>
      <c r="BM39" s="66" t="n"/>
      <c r="BN39" s="66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52" t="n"/>
      <c r="BZ39" s="153" t="n"/>
      <c r="CA39" s="153" t="n"/>
      <c r="CB39" s="66" t="n"/>
      <c r="CC39" s="154" t="n"/>
      <c r="CD39" s="66" t="n"/>
      <c r="CE39" s="66" t="n"/>
      <c r="CF39" s="69" t="n"/>
      <c r="CG39" s="69" t="n"/>
      <c r="CH39" s="69" t="n"/>
      <c r="CI39" s="69" t="n"/>
      <c r="CJ39" s="69" t="n"/>
      <c r="CK39" s="69" t="n"/>
      <c r="CL39" s="69" t="n"/>
      <c r="CM39" s="17" t="n"/>
      <c r="CN39" s="17" t="n"/>
      <c r="CO39" s="38">
        <f>SUM(L39+M39+N39+BK39)/65+SUM(V39+W39)/44+SUM(AE39+AF39+AG39+AH39+AI39+BO39+BP39+BQ39+CF39+CG39)/45+SUM(AV39+AW39+BD39+BE39)/60</f>
        <v/>
      </c>
      <c r="CP39" s="38">
        <f>SUM(O39+P39+Q39+BL39+BM39+CB39+CC39)/65+SUM(X39+Y39)/44+SUM(AJ39+AK39+AM39+AN39+AO39+AP39+AQ39+BR39+BS39+BT39+BU39+BV39+CH39+CI39+CJ39+CK39)/45+SUM(AX39+AY39+AZ39+BA39+BF39+BG39+BH39)/60+SUM(AL39+BZ39)/50</f>
        <v/>
      </c>
      <c r="CQ39" s="38">
        <f>SUM(R39+S39+BN39+CD39+CE39)/65+SUM(AB39)/36+SUM(AR39+AS39+BW39+BX39+CL39+CM39)/40+SUM(BB39+BC39+BI39+BJ39)/60</f>
        <v/>
      </c>
      <c r="CR39" s="38">
        <f>SUM(Z39+AA39)/44</f>
        <v/>
      </c>
      <c r="CS39" s="38">
        <f>SUM(T39)/65+SUM(AC39+AD39)/40+SUM(AT39+AU39)/54</f>
        <v/>
      </c>
      <c r="CT39" s="38">
        <f>SUM(BY39+CN39)/45</f>
        <v/>
      </c>
      <c r="CU39" s="83">
        <f>SUM(U39)/75+SUM(CA39)/60</f>
        <v/>
      </c>
      <c r="CV39" s="155">
        <f>CV38+B39-L39</f>
        <v/>
      </c>
      <c r="CW39" s="155">
        <f>CW38+C39-M39</f>
        <v/>
      </c>
      <c r="CX39" s="155">
        <f>CX38+D39-N39</f>
        <v/>
      </c>
      <c r="CY39" s="155">
        <f>CY38+E39-O39</f>
        <v/>
      </c>
      <c r="CZ39" s="155">
        <f>CZ38+F39-P39</f>
        <v/>
      </c>
      <c r="DA39" s="155">
        <f>DA38+G39-Q39</f>
        <v/>
      </c>
      <c r="DB39" s="155">
        <f>DB38+H39-R39</f>
        <v/>
      </c>
      <c r="DC39" s="155">
        <f>DC38+I39-S39</f>
        <v/>
      </c>
      <c r="DD39" s="155">
        <f>DD38+J39-T39</f>
        <v/>
      </c>
      <c r="DE39" s="156" t="n"/>
    </row>
    <row r="40" ht="20.25" customHeight="1">
      <c r="A40" s="6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65" t="n"/>
      <c r="L40" s="63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52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52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62" t="n"/>
      <c r="BE40" s="62" t="n"/>
      <c r="BF40" s="62" t="n"/>
      <c r="BG40" s="62" t="n"/>
      <c r="BH40" s="62" t="n"/>
      <c r="BI40" s="62" t="n"/>
      <c r="BJ40" s="62" t="n"/>
      <c r="BK40" s="66" t="n"/>
      <c r="BL40" s="66" t="n"/>
      <c r="BM40" s="66" t="n"/>
      <c r="BN40" s="66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52" t="n"/>
      <c r="BZ40" s="153" t="n"/>
      <c r="CA40" s="153" t="n"/>
      <c r="CB40" s="66" t="n"/>
      <c r="CC40" s="154" t="n"/>
      <c r="CD40" s="66" t="n"/>
      <c r="CE40" s="66" t="n"/>
      <c r="CF40" s="69" t="n"/>
      <c r="CG40" s="69" t="n"/>
      <c r="CH40" s="69" t="n"/>
      <c r="CI40" s="69" t="n"/>
      <c r="CJ40" s="69" t="n"/>
      <c r="CK40" s="69" t="n"/>
      <c r="CL40" s="69" t="n"/>
      <c r="CM40" s="17" t="n"/>
      <c r="CN40" s="17" t="n"/>
      <c r="CO40" s="38">
        <f>SUM(L40+M40+N40+BK40)/65+SUM(V40+W40)/44+SUM(AE40+AF40+AG40+AH40+AI40+BO40+BP40+BQ40+CF40+CG40)/45+SUM(AV40+AW40+BD40+BE40)/60</f>
        <v/>
      </c>
      <c r="CP40" s="38">
        <f>SUM(O40+P40+Q40+BL40+BM40+CB40+CC40)/65+SUM(X40+Y40)/44+SUM(AJ40+AK40+AM40+AN40+AO40+AP40+AQ40+BR40+BS40+BT40+BU40+BV40+CH40+CI40+CJ40+CK40)/45+SUM(AX40+AY40+AZ40+BA40+BF40+BG40+BH40)/60+SUM(AL40+BZ40)/50</f>
        <v/>
      </c>
      <c r="CQ40" s="38">
        <f>SUM(R40+S40+BN40+CD40+CE40)/65+SUM(AB40)/36+SUM(AR40+AS40+BW40+BX40+CL40+CM40)/40+SUM(BB40+BC40+BI40+BJ40)/60</f>
        <v/>
      </c>
      <c r="CR40" s="38">
        <f>SUM(Z40+AA40)/44</f>
        <v/>
      </c>
      <c r="CS40" s="38">
        <f>SUM(T40)/65+SUM(AC40+AD40)/40+SUM(AT40+AU40)/54</f>
        <v/>
      </c>
      <c r="CT40" s="38">
        <f>SUM(BY40+CN40)/45</f>
        <v/>
      </c>
      <c r="CU40" s="83">
        <f>SUM(U40)/75+SUM(CA40)/60</f>
        <v/>
      </c>
      <c r="CV40" s="155">
        <f>CV39+B40-L40</f>
        <v/>
      </c>
      <c r="CW40" s="155">
        <f>CW39+C40-M40</f>
        <v/>
      </c>
      <c r="CX40" s="155">
        <f>CX39+D40-N40</f>
        <v/>
      </c>
      <c r="CY40" s="155">
        <f>CY39+E40-O40</f>
        <v/>
      </c>
      <c r="CZ40" s="155">
        <f>CZ39+F40-P40</f>
        <v/>
      </c>
      <c r="DA40" s="155">
        <f>DA39+G40-Q40</f>
        <v/>
      </c>
      <c r="DB40" s="155">
        <f>DB39+H40-R40</f>
        <v/>
      </c>
      <c r="DC40" s="155">
        <f>DC39+I40-S40</f>
        <v/>
      </c>
      <c r="DD40" s="155">
        <f>DD39+J40-T40</f>
        <v/>
      </c>
      <c r="DE40" s="156" t="n"/>
    </row>
    <row r="41" ht="20.25" customHeight="1">
      <c r="A41" s="6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65" t="n"/>
      <c r="L41" s="63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52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52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62" t="n"/>
      <c r="BE41" s="62" t="n"/>
      <c r="BF41" s="62" t="n"/>
      <c r="BG41" s="62" t="n"/>
      <c r="BH41" s="62" t="n"/>
      <c r="BI41" s="62" t="n"/>
      <c r="BJ41" s="62" t="n"/>
      <c r="BK41" s="66" t="n"/>
      <c r="BL41" s="66" t="n"/>
      <c r="BM41" s="66" t="n"/>
      <c r="BN41" s="66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52" t="n"/>
      <c r="BZ41" s="153" t="n"/>
      <c r="CA41" s="153" t="n"/>
      <c r="CB41" s="66" t="n"/>
      <c r="CC41" s="154" t="n"/>
      <c r="CD41" s="66" t="n"/>
      <c r="CE41" s="66" t="n"/>
      <c r="CF41" s="69" t="n"/>
      <c r="CG41" s="69" t="n"/>
      <c r="CH41" s="69" t="n"/>
      <c r="CI41" s="69" t="n"/>
      <c r="CJ41" s="69" t="n"/>
      <c r="CK41" s="69" t="n"/>
      <c r="CL41" s="69" t="n"/>
      <c r="CM41" s="17" t="n"/>
      <c r="CN41" s="17" t="n"/>
      <c r="CO41" s="38">
        <f>SUM(L41+M41+N41+BK41)/65+SUM(V41+W41)/44+SUM(AE41+AF41+AG41+AH41+AI41+BO41+BP41+BQ41+CF41+CG41)/45+SUM(AV41+AW41+BD41+BE41)/60</f>
        <v/>
      </c>
      <c r="CP41" s="38">
        <f>SUM(O41+P41+Q41+BL41+BM41+CB41+CC41)/65+SUM(X41+Y41)/44+SUM(AJ41+AK41+AM41+AN41+AO41+AP41+AQ41+BR41+BS41+BT41+BU41+BV41+CH41+CI41+CJ41+CK41)/45+SUM(AX41+AY41+AZ41+BA41+BF41+BG41+BH41)/60+SUM(AL41+BZ41)/50</f>
        <v/>
      </c>
      <c r="CQ41" s="38">
        <f>SUM(R41+S41+BN41+CD41+CE41)/65+SUM(AB41)/36+SUM(AR41+AS41+BW41+BX41+CL41+CM41)/40+SUM(BB41+BC41+BI41+BJ41)/60</f>
        <v/>
      </c>
      <c r="CR41" s="38">
        <f>SUM(Z41+AA41)/44</f>
        <v/>
      </c>
      <c r="CS41" s="38">
        <f>SUM(T41)/65+SUM(AC41+AD41)/40+SUM(AT41+AU41)/54</f>
        <v/>
      </c>
      <c r="CT41" s="38">
        <f>SUM(BY41+CN41)/45</f>
        <v/>
      </c>
      <c r="CU41" s="83">
        <f>SUM(U41)/75+SUM(CA41)/60</f>
        <v/>
      </c>
      <c r="CV41" s="155">
        <f>CV40+B41-L41</f>
        <v/>
      </c>
      <c r="CW41" s="155">
        <f>CW40+C41-M41</f>
        <v/>
      </c>
      <c r="CX41" s="155">
        <f>CX40+D41-N41</f>
        <v/>
      </c>
      <c r="CY41" s="155">
        <f>CY40+E41-O41</f>
        <v/>
      </c>
      <c r="CZ41" s="155">
        <f>CZ40+F41-P41</f>
        <v/>
      </c>
      <c r="DA41" s="155">
        <f>DA40+G41-Q41</f>
        <v/>
      </c>
      <c r="DB41" s="155">
        <f>DB40+H41-R41</f>
        <v/>
      </c>
      <c r="DC41" s="155">
        <f>DC40+I41-S41</f>
        <v/>
      </c>
      <c r="DD41" s="155">
        <f>DD40+J41-T41</f>
        <v/>
      </c>
      <c r="DE41" s="156" t="n"/>
    </row>
    <row r="42" ht="20.25" customHeight="1">
      <c r="A42" s="6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65" t="n"/>
      <c r="L42" s="63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52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52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62" t="n"/>
      <c r="BE42" s="62" t="n"/>
      <c r="BF42" s="62" t="n"/>
      <c r="BG42" s="62" t="n"/>
      <c r="BH42" s="62" t="n"/>
      <c r="BI42" s="62" t="n"/>
      <c r="BJ42" s="62" t="n"/>
      <c r="BK42" s="66" t="n"/>
      <c r="BL42" s="66" t="n"/>
      <c r="BM42" s="66" t="n"/>
      <c r="BN42" s="66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52" t="n"/>
      <c r="BZ42" s="153" t="n"/>
      <c r="CA42" s="153" t="n"/>
      <c r="CB42" s="66" t="n"/>
      <c r="CC42" s="154" t="n"/>
      <c r="CD42" s="66" t="n"/>
      <c r="CE42" s="66" t="n"/>
      <c r="CF42" s="69" t="n"/>
      <c r="CG42" s="69" t="n"/>
      <c r="CH42" s="69" t="n"/>
      <c r="CI42" s="69" t="n"/>
      <c r="CJ42" s="69" t="n"/>
      <c r="CK42" s="69" t="n"/>
      <c r="CL42" s="69" t="n"/>
      <c r="CM42" s="17" t="n"/>
      <c r="CN42" s="17" t="n"/>
      <c r="CO42" s="38">
        <f>SUM(L42+M42+N42+BK42)/65+SUM(V42+W42)/44+SUM(AE42+AF42+AG42+AH42+AI42+BO42+BP42+BQ42+CF42+CG42)/45+SUM(AV42+AW42+BD42+BE42)/60</f>
        <v/>
      </c>
      <c r="CP42" s="38">
        <f>SUM(O42+P42+Q42+BL42+BM42+CB42+CC42)/65+SUM(X42+Y42)/44+SUM(AJ42+AK42+AM42+AN42+AO42+AP42+AQ42+BR42+BS42+BT42+BU42+BV42+CH42+CI42+CJ42+CK42)/45+SUM(AX42+AY42+AZ42+BA42+BF42+BG42+BH42)/60+SUM(AL42+BZ42)/50</f>
        <v/>
      </c>
      <c r="CQ42" s="38">
        <f>SUM(R42+S42+BN42+CD42+CE42)/65+SUM(AB42)/36+SUM(AR42+AS42+BW42+BX42+CL42+CM42)/40+SUM(BB42+BC42+BI42+BJ42)/60</f>
        <v/>
      </c>
      <c r="CR42" s="38">
        <f>SUM(Z42+AA42)/44</f>
        <v/>
      </c>
      <c r="CS42" s="38">
        <f>SUM(T42)/65+SUM(AC42+AD42)/40+SUM(AT42+AU42)/54</f>
        <v/>
      </c>
      <c r="CT42" s="38">
        <f>SUM(BY42+CN42)/45</f>
        <v/>
      </c>
      <c r="CU42" s="83">
        <f>SUM(U42)/75+SUM(CA42)/60</f>
        <v/>
      </c>
      <c r="CV42" s="155">
        <f>CV41+B42-L42</f>
        <v/>
      </c>
      <c r="CW42" s="155">
        <f>CW41+C42-M42</f>
        <v/>
      </c>
      <c r="CX42" s="155">
        <f>CX41+D42-N42</f>
        <v/>
      </c>
      <c r="CY42" s="155">
        <f>CY41+E42-O42</f>
        <v/>
      </c>
      <c r="CZ42" s="155">
        <f>CZ41+F42-P42</f>
        <v/>
      </c>
      <c r="DA42" s="155">
        <f>DA41+G42-Q42</f>
        <v/>
      </c>
      <c r="DB42" s="155">
        <f>DB41+H42-R42</f>
        <v/>
      </c>
      <c r="DC42" s="155">
        <f>DC41+I42-S42</f>
        <v/>
      </c>
      <c r="DD42" s="155">
        <f>DD41+J42-T42</f>
        <v/>
      </c>
      <c r="DE42" s="156" t="n"/>
    </row>
    <row r="43" ht="20.25" customHeight="1">
      <c r="A43" s="6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65" t="n"/>
      <c r="L43" s="63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52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52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50" t="n"/>
      <c r="AW43" s="50" t="n"/>
      <c r="AX43" s="50" t="n"/>
      <c r="AY43" s="50" t="n"/>
      <c r="AZ43" s="50" t="n"/>
      <c r="BA43" s="50" t="n"/>
      <c r="BB43" s="50" t="n"/>
      <c r="BC43" s="50" t="n"/>
      <c r="BD43" s="62" t="n"/>
      <c r="BE43" s="62" t="n"/>
      <c r="BF43" s="62" t="n"/>
      <c r="BG43" s="62" t="n"/>
      <c r="BH43" s="62" t="n"/>
      <c r="BI43" s="62" t="n"/>
      <c r="BJ43" s="62" t="n"/>
      <c r="BK43" s="66" t="n"/>
      <c r="BL43" s="66" t="n"/>
      <c r="BM43" s="66" t="n"/>
      <c r="BN43" s="66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52" t="n"/>
      <c r="BZ43" s="153" t="n"/>
      <c r="CA43" s="153" t="n"/>
      <c r="CB43" s="66" t="n"/>
      <c r="CC43" s="154" t="n"/>
      <c r="CD43" s="66" t="n"/>
      <c r="CE43" s="66" t="n"/>
      <c r="CF43" s="69" t="n"/>
      <c r="CG43" s="69" t="n"/>
      <c r="CH43" s="69" t="n"/>
      <c r="CI43" s="69" t="n"/>
      <c r="CJ43" s="69" t="n"/>
      <c r="CK43" s="69" t="n"/>
      <c r="CL43" s="69" t="n"/>
      <c r="CM43" s="17" t="n"/>
      <c r="CN43" s="17" t="n"/>
      <c r="CO43" s="38">
        <f>SUM(L43+M43+N43+BK43)/65+SUM(V43+W43)/44+SUM(AE43+AF43+AG43+AH43+AI43+BO43+BP43+BQ43+CF43+CG43)/45+SUM(AV43+AW43+BD43+BE43)/60</f>
        <v/>
      </c>
      <c r="CP43" s="38">
        <f>SUM(O43+P43+Q43+BL43+BM43+CB43+CC43)/65+SUM(X43+Y43)/44+SUM(AJ43+AK43+AM43+AN43+AO43+AP43+AQ43+BR43+BS43+BT43+BU43+BV43+CH43+CI43+CJ43+CK43)/45+SUM(AX43+AY43+AZ43+BA43+BF43+BG43+BH43)/60+SUM(AL43+BZ43)/50</f>
        <v/>
      </c>
      <c r="CQ43" s="38">
        <f>SUM(R43+S43+BN43+CD43+CE43)/65+SUM(AB43)/36+SUM(AR43+AS43+BW43+BX43+CL43+CM43)/40+SUM(BB43+BC43+BI43+BJ43)/60</f>
        <v/>
      </c>
      <c r="CR43" s="38">
        <f>SUM(Z43+AA43)/44</f>
        <v/>
      </c>
      <c r="CS43" s="38">
        <f>SUM(T43)/65+SUM(AC43+AD43)/40+SUM(AT43+AU43)/54</f>
        <v/>
      </c>
      <c r="CT43" s="38">
        <f>SUM(BY43+CN43)/45</f>
        <v/>
      </c>
      <c r="CU43" s="83">
        <f>SUM(U43)/75+SUM(CA43)/60</f>
        <v/>
      </c>
      <c r="CV43" s="155">
        <f>CV42+B43-L43</f>
        <v/>
      </c>
      <c r="CW43" s="155">
        <f>CW42+C43-M43</f>
        <v/>
      </c>
      <c r="CX43" s="155">
        <f>CX42+D43-N43</f>
        <v/>
      </c>
      <c r="CY43" s="155">
        <f>CY42+E43-O43</f>
        <v/>
      </c>
      <c r="CZ43" s="155">
        <f>CZ42+F43-P43</f>
        <v/>
      </c>
      <c r="DA43" s="155">
        <f>DA42+G43-Q43</f>
        <v/>
      </c>
      <c r="DB43" s="155">
        <f>DB42+H43-R43</f>
        <v/>
      </c>
      <c r="DC43" s="155">
        <f>DC42+I43-S43</f>
        <v/>
      </c>
      <c r="DD43" s="155">
        <f>DD42+J43-T43</f>
        <v/>
      </c>
      <c r="DE43" s="156" t="n"/>
    </row>
    <row r="44" ht="20.25" customHeight="1">
      <c r="A44" s="6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65" t="n"/>
      <c r="L44" s="63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52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52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62" t="n"/>
      <c r="BE44" s="62" t="n"/>
      <c r="BF44" s="62" t="n"/>
      <c r="BG44" s="62" t="n"/>
      <c r="BH44" s="62" t="n"/>
      <c r="BI44" s="62" t="n"/>
      <c r="BJ44" s="62" t="n"/>
      <c r="BK44" s="66" t="n"/>
      <c r="BL44" s="66" t="n"/>
      <c r="BM44" s="66" t="n"/>
      <c r="BN44" s="66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52" t="n"/>
      <c r="BZ44" s="153" t="n"/>
      <c r="CA44" s="153" t="n"/>
      <c r="CB44" s="66" t="n"/>
      <c r="CC44" s="154" t="n"/>
      <c r="CD44" s="66" t="n"/>
      <c r="CE44" s="66" t="n"/>
      <c r="CF44" s="69" t="n"/>
      <c r="CG44" s="69" t="n"/>
      <c r="CH44" s="69" t="n"/>
      <c r="CI44" s="69" t="n"/>
      <c r="CJ44" s="69" t="n"/>
      <c r="CK44" s="69" t="n"/>
      <c r="CL44" s="69" t="n"/>
      <c r="CM44" s="17" t="n"/>
      <c r="CN44" s="17" t="n"/>
      <c r="CO44" s="38">
        <f>SUM(L44+M44+N44+BK44)/65+SUM(V44+W44)/44+SUM(AE44+AF44+AG44+AH44+AI44+BO44+BP44+BQ44+CF44+CG44)/45+SUM(AV44+AW44+BD44+BE44)/60</f>
        <v/>
      </c>
      <c r="CP44" s="38">
        <f>SUM(O44+P44+Q44+BL44+BM44+CB44+CC44)/65+SUM(X44+Y44)/44+SUM(AJ44+AK44+AM44+AN44+AO44+AP44+AQ44+BR44+BS44+BT44+BU44+BV44+CH44+CI44+CJ44+CK44)/45+SUM(AX44+AY44+AZ44+BA44+BF44+BG44+BH44)/60+SUM(AL44+BZ44)/50</f>
        <v/>
      </c>
      <c r="CQ44" s="38">
        <f>SUM(R44+S44+BN44+CD44+CE44)/65+SUM(AB44)/36+SUM(AR44+AS44+BW44+BX44+CL44+CM44)/40+SUM(BB44+BC44+BI44+BJ44)/60</f>
        <v/>
      </c>
      <c r="CR44" s="38">
        <f>SUM(Z44+AA44)/44</f>
        <v/>
      </c>
      <c r="CS44" s="38">
        <f>SUM(T44)/65+SUM(AC44+AD44)/40+SUM(AT44+AU44)/54</f>
        <v/>
      </c>
      <c r="CT44" s="38">
        <f>SUM(BY44+CN44)/45</f>
        <v/>
      </c>
      <c r="CU44" s="83">
        <f>SUM(U44)/75+SUM(CA44)/60</f>
        <v/>
      </c>
      <c r="CV44" s="155">
        <f>CV43+B44-L44</f>
        <v/>
      </c>
      <c r="CW44" s="155">
        <f>CW43+C44-M44</f>
        <v/>
      </c>
      <c r="CX44" s="155">
        <f>CX43+D44-N44</f>
        <v/>
      </c>
      <c r="CY44" s="155">
        <f>CY43+E44-O44</f>
        <v/>
      </c>
      <c r="CZ44" s="155">
        <f>CZ43+F44-P44</f>
        <v/>
      </c>
      <c r="DA44" s="155">
        <f>DA43+G44-Q44</f>
        <v/>
      </c>
      <c r="DB44" s="155">
        <f>DB43+H44-R44</f>
        <v/>
      </c>
      <c r="DC44" s="155">
        <f>DC43+I44-S44</f>
        <v/>
      </c>
      <c r="DD44" s="155">
        <f>DD43+J44-T44</f>
        <v/>
      </c>
      <c r="DE44" s="156" t="n"/>
    </row>
    <row r="45" ht="20.25" customHeight="1">
      <c r="A45" s="6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65" t="n"/>
      <c r="L45" s="63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52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52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62" t="n"/>
      <c r="BE45" s="62" t="n"/>
      <c r="BF45" s="62" t="n"/>
      <c r="BG45" s="62" t="n"/>
      <c r="BH45" s="62" t="n"/>
      <c r="BI45" s="62" t="n"/>
      <c r="BJ45" s="62" t="n"/>
      <c r="BK45" s="66" t="n"/>
      <c r="BL45" s="66" t="n"/>
      <c r="BM45" s="66" t="n"/>
      <c r="BN45" s="66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52" t="n"/>
      <c r="BZ45" s="153" t="n"/>
      <c r="CA45" s="153" t="n"/>
      <c r="CB45" s="66" t="n"/>
      <c r="CC45" s="154" t="n"/>
      <c r="CD45" s="66" t="n"/>
      <c r="CE45" s="66" t="n"/>
      <c r="CF45" s="69" t="n"/>
      <c r="CG45" s="69" t="n"/>
      <c r="CH45" s="69" t="n"/>
      <c r="CI45" s="69" t="n"/>
      <c r="CJ45" s="69" t="n"/>
      <c r="CK45" s="69" t="n"/>
      <c r="CL45" s="69" t="n"/>
      <c r="CM45" s="17" t="n"/>
      <c r="CN45" s="17" t="n"/>
      <c r="CO45" s="38">
        <f>SUM(L45+M45+N45+BK45)/65+SUM(V45+W45)/44+SUM(AE45+AF45+AG45+AH45+AI45+BO45+BP45+BQ45+CF45+CG45)/45+SUM(AV45+AW45+BD45+BE45)/60</f>
        <v/>
      </c>
      <c r="CP45" s="38">
        <f>SUM(O45+P45+Q45+BL45+BM45+CB45+CC45)/65+SUM(X45+Y45)/44+SUM(AJ45+AK45+AM45+AN45+AO45+AP45+AQ45+BR45+BS45+BT45+BU45+BV45+CH45+CI45+CJ45+CK45)/45+SUM(AX45+AY45+AZ45+BA45+BF45+BG45+BH45)/60+SUM(AL45+BZ45)/50</f>
        <v/>
      </c>
      <c r="CQ45" s="38">
        <f>SUM(R45+S45+BN45+CD45+CE45)/65+SUM(AB45)/36+SUM(AR45+AS45+BW45+BX45+CL45+CM45)/40+SUM(BB45+BC45+BI45+BJ45)/60</f>
        <v/>
      </c>
      <c r="CR45" s="38">
        <f>SUM(Z45+AA45)/44</f>
        <v/>
      </c>
      <c r="CS45" s="38">
        <f>SUM(T45)/65+SUM(AC45+AD45)/40+SUM(AT45+AU45)/54</f>
        <v/>
      </c>
      <c r="CT45" s="38">
        <f>SUM(BY45+CN45)/45</f>
        <v/>
      </c>
      <c r="CU45" s="83">
        <f>SUM(U45)/75+SUM(CA45)/60</f>
        <v/>
      </c>
      <c r="CV45" s="155">
        <f>CV37+B45-L45</f>
        <v/>
      </c>
      <c r="CW45" s="155">
        <f>CW44+C45-M45</f>
        <v/>
      </c>
      <c r="CX45" s="155">
        <f>CX44+D45-N45</f>
        <v/>
      </c>
      <c r="CY45" s="155">
        <f>CY44+E45-O45</f>
        <v/>
      </c>
      <c r="CZ45" s="155">
        <f>CZ44+F45-P45</f>
        <v/>
      </c>
      <c r="DA45" s="155">
        <f>DA44+G45-Q45</f>
        <v/>
      </c>
      <c r="DB45" s="155">
        <f>DB44+H45-R45</f>
        <v/>
      </c>
      <c r="DC45" s="155">
        <f>DC44+I45-S45</f>
        <v/>
      </c>
      <c r="DD45" s="155">
        <f>DD44+J45-T45</f>
        <v/>
      </c>
      <c r="DE45" s="156" t="n"/>
    </row>
    <row r="46" ht="20.25" customHeight="1">
      <c r="A46" s="6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65" t="n"/>
      <c r="L46" s="63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52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52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62" t="n"/>
      <c r="BE46" s="62" t="n"/>
      <c r="BF46" s="62" t="n"/>
      <c r="BG46" s="62" t="n"/>
      <c r="BH46" s="62" t="n"/>
      <c r="BI46" s="62" t="n"/>
      <c r="BJ46" s="62" t="n"/>
      <c r="BK46" s="66" t="n"/>
      <c r="BL46" s="66" t="n"/>
      <c r="BM46" s="66" t="n"/>
      <c r="BN46" s="66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52" t="n"/>
      <c r="BZ46" s="153" t="n"/>
      <c r="CA46" s="153" t="n"/>
      <c r="CB46" s="66" t="n"/>
      <c r="CC46" s="154" t="n"/>
      <c r="CD46" s="66" t="n"/>
      <c r="CE46" s="66" t="n"/>
      <c r="CF46" s="69" t="n"/>
      <c r="CG46" s="69" t="n"/>
      <c r="CH46" s="69" t="n"/>
      <c r="CI46" s="69" t="n"/>
      <c r="CJ46" s="69" t="n"/>
      <c r="CK46" s="69" t="n"/>
      <c r="CL46" s="69" t="n"/>
      <c r="CM46" s="17" t="n"/>
      <c r="CN46" s="17" t="n"/>
      <c r="CO46" s="38">
        <f>SUM(L46+M46+N46+BK46)/65+SUM(V46+W46)/44+SUM(AE46+AF46+AG46+AH46+AI46+BO46+BP46+BQ46+CF46+CG46)/45+SUM(AV46+AW46+BD46+BE46)/60</f>
        <v/>
      </c>
      <c r="CP46" s="38">
        <f>SUM(O46+P46+Q46+BL46+BM46+CB46+CC46)/65+SUM(X46+Y46)/44+SUM(AJ46+AK46+AM46+AN46+AO46+AP46+AQ46+BR46+BS46+BT46+BU46+BV46+CH46+CI46+CJ46+CK46)/45+SUM(AX46+AY46+AZ46+BA46+BF46+BG46+BH46)/60+SUM(AL46+BZ46)/50</f>
        <v/>
      </c>
      <c r="CQ46" s="38">
        <f>SUM(R46+S46+BN46+CD46+CE46)/65+SUM(AB46)/36+SUM(AR46+AS46+BW46+BX46+CL46+CM46)/40+SUM(BB46+BC46+BI46+BJ46)/60</f>
        <v/>
      </c>
      <c r="CR46" s="38">
        <f>SUM(Z46+AA46)/44</f>
        <v/>
      </c>
      <c r="CS46" s="38">
        <f>SUM(T46)/65+SUM(AC46+AD46)/40+SUM(AT46+AU46)/54</f>
        <v/>
      </c>
      <c r="CT46" s="38">
        <f>SUM(BY46+CN46)/45</f>
        <v/>
      </c>
      <c r="CU46" s="83">
        <f>SUM(U46)/75+SUM(CA46)/60</f>
        <v/>
      </c>
      <c r="CV46" s="155">
        <f>CV45+B46-L46</f>
        <v/>
      </c>
      <c r="CW46" s="155">
        <f>CW45+C46-M46</f>
        <v/>
      </c>
      <c r="CX46" s="155">
        <f>CX45+D46-N46</f>
        <v/>
      </c>
      <c r="CY46" s="155">
        <f>CY45+E46-O46</f>
        <v/>
      </c>
      <c r="CZ46" s="155">
        <f>CZ45+F46-P46</f>
        <v/>
      </c>
      <c r="DA46" s="155">
        <f>DA45+G46-Q46</f>
        <v/>
      </c>
      <c r="DB46" s="155">
        <f>DB45+H46-R46</f>
        <v/>
      </c>
      <c r="DC46" s="155">
        <f>DC45+I46-S46</f>
        <v/>
      </c>
      <c r="DD46" s="155">
        <f>DD45+J46-T46</f>
        <v/>
      </c>
      <c r="DE46" s="156" t="n"/>
    </row>
    <row r="47" ht="20.25" customHeight="1">
      <c r="A47" s="6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65" t="n"/>
      <c r="L47" s="63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52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52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50" t="n"/>
      <c r="AW47" s="50" t="n"/>
      <c r="AX47" s="50" t="n"/>
      <c r="AY47" s="50" t="n"/>
      <c r="AZ47" s="50" t="n"/>
      <c r="BA47" s="50" t="n"/>
      <c r="BB47" s="50" t="n"/>
      <c r="BC47" s="50" t="n"/>
      <c r="BD47" s="62" t="n"/>
      <c r="BE47" s="62" t="n"/>
      <c r="BF47" s="62" t="n"/>
      <c r="BG47" s="62" t="n"/>
      <c r="BH47" s="62" t="n"/>
      <c r="BI47" s="62" t="n"/>
      <c r="BJ47" s="62" t="n"/>
      <c r="BK47" s="66" t="n"/>
      <c r="BL47" s="66" t="n"/>
      <c r="BM47" s="66" t="n"/>
      <c r="BN47" s="66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52" t="n"/>
      <c r="BZ47" s="153" t="n"/>
      <c r="CA47" s="153" t="n"/>
      <c r="CB47" s="66" t="n"/>
      <c r="CC47" s="154" t="n"/>
      <c r="CD47" s="66" t="n"/>
      <c r="CE47" s="66" t="n"/>
      <c r="CF47" s="69" t="n"/>
      <c r="CG47" s="69" t="n"/>
      <c r="CH47" s="69" t="n"/>
      <c r="CI47" s="69" t="n"/>
      <c r="CJ47" s="69" t="n"/>
      <c r="CK47" s="69" t="n"/>
      <c r="CL47" s="69" t="n"/>
      <c r="CM47" s="17" t="n"/>
      <c r="CN47" s="17" t="n"/>
      <c r="CO47" s="38">
        <f>SUM(L47+M47+N47+BK47)/65+SUM(V47+W47)/44+SUM(AE47+AF47+AG47+AH47+AI47+BO47+BP47+BQ47+CF47+CG47)/45+SUM(AV47+AW47+BD47+BE47)/60</f>
        <v/>
      </c>
      <c r="CP47" s="38">
        <f>SUM(O47+P47+Q47+BL47+BM47+CB47+CC47)/65+SUM(X47+Y47)/44+SUM(AJ47+AK47+AM47+AN47+AO47+AP47+AQ47+BR47+BS47+BT47+BU47+BV47+CH47+CI47+CJ47+CK47)/45+SUM(AX47+AY47+AZ47+BA47+BF47+BG47+BH47)/60+SUM(AL47+BZ47)/50</f>
        <v/>
      </c>
      <c r="CQ47" s="38">
        <f>SUM(R47+S47+BN47+CD47+CE47)/65+SUM(AB47)/36+SUM(AR47+AS47+BW47+BX47+CL47+CM47)/40+SUM(BB47+BC47+BI47+BJ47)/60</f>
        <v/>
      </c>
      <c r="CR47" s="38">
        <f>SUM(Z47+AA47)/44</f>
        <v/>
      </c>
      <c r="CS47" s="38">
        <f>SUM(T47)/65+SUM(AC47+AD47)/40+SUM(AT47+AU47)/54</f>
        <v/>
      </c>
      <c r="CT47" s="38">
        <f>SUM(BY47+CN47)/45</f>
        <v/>
      </c>
      <c r="CU47" s="83">
        <f>SUM(U47)/75+SUM(CA47)/60</f>
        <v/>
      </c>
      <c r="CV47" s="155">
        <f>#REF!+B47-L47</f>
        <v/>
      </c>
      <c r="CW47" s="155">
        <f>CW46+C47-M47</f>
        <v/>
      </c>
      <c r="CX47" s="155">
        <f>CX46+D47-N47</f>
        <v/>
      </c>
      <c r="CY47" s="155">
        <f>CY46+E47-O47</f>
        <v/>
      </c>
      <c r="CZ47" s="155">
        <f>CZ46+F47-P47</f>
        <v/>
      </c>
      <c r="DA47" s="155">
        <f>DA46+G47-Q47</f>
        <v/>
      </c>
      <c r="DB47" s="155">
        <f>DB46+H47-R47</f>
        <v/>
      </c>
      <c r="DC47" s="155">
        <f>DC46+I47-S47</f>
        <v/>
      </c>
      <c r="DD47" s="155">
        <f>DD46+J47-T47</f>
        <v/>
      </c>
      <c r="DE47" s="156" t="n"/>
    </row>
    <row r="48" ht="20.25" customHeight="1">
      <c r="A48" s="6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65" t="n"/>
      <c r="L48" s="63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52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52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62" t="n"/>
      <c r="BE48" s="62" t="n"/>
      <c r="BF48" s="62" t="n"/>
      <c r="BG48" s="62" t="n"/>
      <c r="BH48" s="62" t="n"/>
      <c r="BI48" s="62" t="n"/>
      <c r="BJ48" s="62" t="n"/>
      <c r="BK48" s="66" t="n"/>
      <c r="BL48" s="66" t="n"/>
      <c r="BM48" s="66" t="n"/>
      <c r="BN48" s="66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52" t="n"/>
      <c r="BZ48" s="153" t="n"/>
      <c r="CA48" s="153" t="n"/>
      <c r="CB48" s="66" t="n"/>
      <c r="CC48" s="154" t="n"/>
      <c r="CD48" s="66" t="n"/>
      <c r="CE48" s="66" t="n"/>
      <c r="CF48" s="69" t="n"/>
      <c r="CG48" s="69" t="n"/>
      <c r="CH48" s="69" t="n"/>
      <c r="CI48" s="69" t="n"/>
      <c r="CJ48" s="69" t="n"/>
      <c r="CK48" s="69" t="n"/>
      <c r="CL48" s="69" t="n"/>
      <c r="CM48" s="17" t="n"/>
      <c r="CN48" s="17" t="n"/>
      <c r="CO48" s="38">
        <f>SUM(L48+M48+N48+BK48)/65+SUM(V48+W48)/44+SUM(AE48+AF48+AG48+AH48+AI48+BO48+BP48+BQ48+CF48+CG48)/45+SUM(AV48+AW48+BD48+BE48)/60</f>
        <v/>
      </c>
      <c r="CP48" s="38">
        <f>SUM(O48+P48+Q48+BL48+BM48+CB48+CC48)/65+SUM(X48+Y48)/44+SUM(AJ48+AK48+AM48+AN48+AO48+AP48+AQ48+BR48+BS48+BT48+BU48+BV48+CH48+CI48+CJ48+CK48)/45+SUM(AX48+AY48+AZ48+BA48+BF48+BG48+BH48)/60+SUM(AL48+BZ48)/50</f>
        <v/>
      </c>
      <c r="CQ48" s="38">
        <f>SUM(R48+S48+BN48+CD48+CE48)/65+SUM(AB48)/36+SUM(AR48+AS48+BW48+BX48+CL48+CM48)/40+SUM(BB48+BC48+BI48+BJ48)/60</f>
        <v/>
      </c>
      <c r="CR48" s="38">
        <f>SUM(Z48+AA48)/44</f>
        <v/>
      </c>
      <c r="CS48" s="38">
        <f>SUM(T48)/65+SUM(AC48+AD48)/40+SUM(AT48+AU48)/54</f>
        <v/>
      </c>
      <c r="CT48" s="38">
        <f>SUM(BY48+CN48)/45</f>
        <v/>
      </c>
      <c r="CU48" s="83">
        <f>SUM(U48)/75+SUM(CA48)/60</f>
        <v/>
      </c>
      <c r="CV48" s="155">
        <f>#REF!+B48-L48</f>
        <v/>
      </c>
      <c r="CW48" s="155">
        <f>CW47+C48-M48</f>
        <v/>
      </c>
      <c r="CX48" s="155">
        <f>CX47+D48-N48</f>
        <v/>
      </c>
      <c r="CY48" s="155">
        <f>CY47+E48-O48</f>
        <v/>
      </c>
      <c r="CZ48" s="155">
        <f>CZ47+F48-P48</f>
        <v/>
      </c>
      <c r="DA48" s="155">
        <f>DA47+G48-Q48</f>
        <v/>
      </c>
      <c r="DB48" s="155">
        <f>DB47+H48-R48</f>
        <v/>
      </c>
      <c r="DC48" s="155">
        <f>DC47+I48-S48</f>
        <v/>
      </c>
      <c r="DD48" s="155">
        <f>DD47+J48-T48</f>
        <v/>
      </c>
      <c r="DE48" s="156" t="n"/>
    </row>
    <row r="49" ht="20.25" customHeight="1">
      <c r="A49" s="6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65" t="n"/>
      <c r="L49" s="63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52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52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62" t="n"/>
      <c r="BE49" s="62" t="n"/>
      <c r="BF49" s="62" t="n"/>
      <c r="BG49" s="62" t="n"/>
      <c r="BH49" s="62" t="n"/>
      <c r="BI49" s="62" t="n"/>
      <c r="BJ49" s="62" t="n"/>
      <c r="BK49" s="66" t="n"/>
      <c r="BL49" s="66" t="n"/>
      <c r="BM49" s="66" t="n"/>
      <c r="BN49" s="66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52" t="n"/>
      <c r="BZ49" s="153" t="n"/>
      <c r="CA49" s="153" t="n"/>
      <c r="CB49" s="66" t="n"/>
      <c r="CC49" s="154" t="n"/>
      <c r="CD49" s="66" t="n"/>
      <c r="CE49" s="66" t="n"/>
      <c r="CF49" s="69" t="n"/>
      <c r="CG49" s="69" t="n"/>
      <c r="CH49" s="69" t="n"/>
      <c r="CI49" s="69" t="n"/>
      <c r="CJ49" s="69" t="n"/>
      <c r="CK49" s="69" t="n"/>
      <c r="CL49" s="69" t="n"/>
      <c r="CM49" s="17" t="n"/>
      <c r="CN49" s="17" t="n"/>
      <c r="CO49" s="38">
        <f>SUM(L49+M49+N49+BK49)/65+SUM(V49+W49)/44+SUM(AE49+AF49+AG49+AH49+AI49+BO49+BP49+BQ49+CF49+CG49)/45+SUM(AV49+AW49+BD49+BE49)/60</f>
        <v/>
      </c>
      <c r="CP49" s="38">
        <f>SUM(O49+P49+Q49+BL49+BM49+CB49+CC49)/65+SUM(X49+Y49)/44+SUM(AJ49+AK49+AM49+AN49+AO49+AP49+AQ49+BR49+BS49+BT49+BU49+BV49+CH49+CI49+CJ49+CK49)/45+SUM(AX49+AY49+AZ49+BA49+BF49+BG49+BH49)/60+SUM(AL49+BZ49)/50</f>
        <v/>
      </c>
      <c r="CQ49" s="38">
        <f>SUM(R49+S49+BN49+CD49+CE49)/65+SUM(AB49)/36+SUM(AR49+AS49+BW49+BX49+CL49+CM49)/40+SUM(BB49+BC49+BI49+BJ49)/60</f>
        <v/>
      </c>
      <c r="CR49" s="38">
        <f>SUM(Z49+AA49)/44</f>
        <v/>
      </c>
      <c r="CS49" s="38">
        <f>SUM(T49)/65+SUM(AC49+AD49)/40+SUM(AT49+AU49)/54</f>
        <v/>
      </c>
      <c r="CT49" s="38">
        <f>SUM(BY49+CN49)/45</f>
        <v/>
      </c>
      <c r="CU49" s="83">
        <f>SUM(U49)/75+SUM(CA49)/60</f>
        <v/>
      </c>
      <c r="CV49" s="155">
        <f>#REF!+B49-L49</f>
        <v/>
      </c>
      <c r="CW49" s="155">
        <f>CW48+C49-M49</f>
        <v/>
      </c>
      <c r="CX49" s="155">
        <f>CX48+D49-N49</f>
        <v/>
      </c>
      <c r="CY49" s="155">
        <f>CY48+E49-O49</f>
        <v/>
      </c>
      <c r="CZ49" s="155">
        <f>CZ48+F49-P49</f>
        <v/>
      </c>
      <c r="DA49" s="155">
        <f>DA48+G49-Q49</f>
        <v/>
      </c>
      <c r="DB49" s="155">
        <f>DB48+H49-R49</f>
        <v/>
      </c>
      <c r="DC49" s="155">
        <f>DC48+I49-S49</f>
        <v/>
      </c>
      <c r="DD49" s="155">
        <f>DD48+J49-T49</f>
        <v/>
      </c>
      <c r="DE49" s="156" t="n"/>
    </row>
    <row r="50" ht="20.25" customHeight="1">
      <c r="A50" s="6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65" t="n"/>
      <c r="L50" s="63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52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52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62" t="n"/>
      <c r="BE50" s="62" t="n"/>
      <c r="BF50" s="62" t="n"/>
      <c r="BG50" s="62" t="n"/>
      <c r="BH50" s="62" t="n"/>
      <c r="BI50" s="62" t="n"/>
      <c r="BJ50" s="62" t="n"/>
      <c r="BK50" s="66" t="n"/>
      <c r="BL50" s="66" t="n"/>
      <c r="BM50" s="66" t="n"/>
      <c r="BN50" s="66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52" t="n"/>
      <c r="BZ50" s="153" t="n"/>
      <c r="CA50" s="153" t="n"/>
      <c r="CB50" s="66" t="n"/>
      <c r="CC50" s="154" t="n"/>
      <c r="CD50" s="66" t="n"/>
      <c r="CE50" s="66" t="n"/>
      <c r="CF50" s="69" t="n"/>
      <c r="CG50" s="69" t="n"/>
      <c r="CH50" s="69" t="n"/>
      <c r="CI50" s="69" t="n"/>
      <c r="CJ50" s="69" t="n"/>
      <c r="CK50" s="69" t="n"/>
      <c r="CL50" s="69" t="n"/>
      <c r="CM50" s="17" t="n"/>
      <c r="CN50" s="17" t="n"/>
      <c r="CO50" s="38">
        <f>SUM(L50+M50+N50+BK50)/65+SUM(V50+W50)/44+SUM(AE50+AF50+AG50+AH50+AI50+BO50+BP50+BQ50+CF50+CG50)/45+SUM(AV50+AW50+BD50+BE50)/60</f>
        <v/>
      </c>
      <c r="CP50" s="38">
        <f>SUM(O50+P50+Q50+BL50+BM50+CB50+CC50)/65+SUM(X50+Y50)/44+SUM(AJ50+AK50+AM50+AN50+AO50+AP50+AQ50+BR50+BS50+BT50+BU50+BV50+CH50+CI50+CJ50+CK50)/45+SUM(AX50+AY50+AZ50+BA50+BF50+BG50+BH50)/60+SUM(AL50+BZ50)/50</f>
        <v/>
      </c>
      <c r="CQ50" s="38">
        <f>SUM(R50+S50+BN50+CD50+CE50)/65+SUM(AB50)/36+SUM(AR50+AS50+BW50+BX50+CL50+CM50)/40+SUM(BB50+BC50+BI50+BJ50)/60</f>
        <v/>
      </c>
      <c r="CR50" s="38">
        <f>SUM(Z50+AA50)/44</f>
        <v/>
      </c>
      <c r="CS50" s="38">
        <f>SUM(T50)/65+SUM(AC50+AD50)/40+SUM(AT50+AU50)/54</f>
        <v/>
      </c>
      <c r="CT50" s="38">
        <f>SUM(BY50+CN50)/45</f>
        <v/>
      </c>
      <c r="CU50" s="83">
        <f>SUM(U50)/75+SUM(CA50)/60</f>
        <v/>
      </c>
      <c r="CV50" s="155">
        <f>#REF!+B50-L50</f>
        <v/>
      </c>
      <c r="CW50" s="155">
        <f>CW49+C50-M50</f>
        <v/>
      </c>
      <c r="CX50" s="155">
        <f>CX49+D50-N50</f>
        <v/>
      </c>
      <c r="CY50" s="155">
        <f>CY49+E50-O50</f>
        <v/>
      </c>
      <c r="CZ50" s="155">
        <f>CZ49+F50-P50</f>
        <v/>
      </c>
      <c r="DA50" s="155">
        <f>DA49+G50-Q50</f>
        <v/>
      </c>
      <c r="DB50" s="155">
        <f>DB49+H50-R50</f>
        <v/>
      </c>
      <c r="DC50" s="155">
        <f>DC49+I50-S50</f>
        <v/>
      </c>
      <c r="DD50" s="155">
        <f>DD49+J50-T50</f>
        <v/>
      </c>
      <c r="DE50" s="156" t="n"/>
    </row>
    <row r="51" ht="20.25" customHeight="1">
      <c r="A51" s="6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65" t="n"/>
      <c r="L51" s="63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52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52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62" t="n"/>
      <c r="BE51" s="62" t="n"/>
      <c r="BF51" s="62" t="n"/>
      <c r="BG51" s="62" t="n"/>
      <c r="BH51" s="62" t="n"/>
      <c r="BI51" s="62" t="n"/>
      <c r="BJ51" s="62" t="n"/>
      <c r="BK51" s="66" t="n"/>
      <c r="BL51" s="66" t="n"/>
      <c r="BM51" s="66" t="n"/>
      <c r="BN51" s="66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52" t="n"/>
      <c r="BZ51" s="153" t="n"/>
      <c r="CA51" s="153" t="n"/>
      <c r="CB51" s="66" t="n"/>
      <c r="CC51" s="154" t="n"/>
      <c r="CD51" s="66" t="n"/>
      <c r="CE51" s="66" t="n"/>
      <c r="CF51" s="69" t="n"/>
      <c r="CG51" s="69" t="n"/>
      <c r="CH51" s="69" t="n"/>
      <c r="CI51" s="69" t="n"/>
      <c r="CJ51" s="69" t="n"/>
      <c r="CK51" s="69" t="n"/>
      <c r="CL51" s="69" t="n"/>
      <c r="CM51" s="17" t="n"/>
      <c r="CN51" s="17" t="n"/>
      <c r="CO51" s="38">
        <f>SUM(L51+M51+N51+BK51)/65+SUM(V51+W51)/44+SUM(AE51+AF51+AG51+AH51+AI51+BO51+BP51+BQ51+CF51+CG51)/45+SUM(AV51+AW51+BD51+BE51)/60</f>
        <v/>
      </c>
      <c r="CP51" s="38">
        <f>SUM(O51+P51+Q51+BL51+BM51+CB51+CC51)/65+SUM(X51+Y51)/44+SUM(AJ51+AK51+AM51+AN51+AO51+AP51+AQ51+BR51+BS51+BT51+BU51+BV51+CH51+CI51+CJ51+CK51)/45+SUM(AX51+AY51+AZ51+BA51+BF51+BG51+BH51)/60+SUM(AL51+BZ51)/50</f>
        <v/>
      </c>
      <c r="CQ51" s="38">
        <f>SUM(R51+S51+BN51+CD51+CE51)/65+SUM(AB51)/36+SUM(AR51+AS51+BW51+BX51+CL51+CM51)/40+SUM(BB51+BC51+BI51+BJ51)/60</f>
        <v/>
      </c>
      <c r="CR51" s="38">
        <f>SUM(Z51+AA51)/44</f>
        <v/>
      </c>
      <c r="CS51" s="38">
        <f>SUM(T51)/65+SUM(AC51+AD51)/40+SUM(AT51+AU51)/54</f>
        <v/>
      </c>
      <c r="CT51" s="38">
        <f>SUM(BY51+CN51)/45</f>
        <v/>
      </c>
      <c r="CU51" s="83">
        <f>SUM(U51)/75+SUM(CA51)/60</f>
        <v/>
      </c>
      <c r="CV51" s="155">
        <f>#REF!+B51-L51</f>
        <v/>
      </c>
      <c r="CW51" s="155">
        <f>CW50+C51-M51</f>
        <v/>
      </c>
      <c r="CX51" s="155">
        <f>CX50+D51-N51</f>
        <v/>
      </c>
      <c r="CY51" s="155">
        <f>CY50+E51-O51</f>
        <v/>
      </c>
      <c r="CZ51" s="155">
        <f>CZ50+F51-P51</f>
        <v/>
      </c>
      <c r="DA51" s="155">
        <f>DA50+G51-Q51</f>
        <v/>
      </c>
      <c r="DB51" s="155">
        <f>DB50+H51-R51</f>
        <v/>
      </c>
      <c r="DC51" s="155">
        <f>DC50+I51-S51</f>
        <v/>
      </c>
      <c r="DD51" s="155">
        <f>DD50+J51-T51</f>
        <v/>
      </c>
      <c r="DE51" s="156" t="n"/>
    </row>
    <row r="52" ht="20.25" customHeight="1">
      <c r="A52" s="6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65" t="n"/>
      <c r="L52" s="63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52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52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62" t="n"/>
      <c r="BE52" s="62" t="n"/>
      <c r="BF52" s="62" t="n"/>
      <c r="BG52" s="62" t="n"/>
      <c r="BH52" s="62" t="n"/>
      <c r="BI52" s="62" t="n"/>
      <c r="BJ52" s="62" t="n"/>
      <c r="BK52" s="66" t="n"/>
      <c r="BL52" s="66" t="n"/>
      <c r="BM52" s="66" t="n"/>
      <c r="BN52" s="66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52" t="n"/>
      <c r="BZ52" s="153" t="n"/>
      <c r="CA52" s="153" t="n"/>
      <c r="CB52" s="66" t="n"/>
      <c r="CC52" s="154" t="n"/>
      <c r="CD52" s="66" t="n"/>
      <c r="CE52" s="66" t="n"/>
      <c r="CF52" s="69" t="n"/>
      <c r="CG52" s="69" t="n"/>
      <c r="CH52" s="69" t="n"/>
      <c r="CI52" s="69" t="n"/>
      <c r="CJ52" s="69" t="n"/>
      <c r="CK52" s="69" t="n"/>
      <c r="CL52" s="69" t="n"/>
      <c r="CM52" s="17" t="n"/>
      <c r="CN52" s="17" t="n"/>
      <c r="CO52" s="38">
        <f>SUM(L52+M52+N52+BK52)/65+SUM(V52+W52)/44+SUM(AE52+AF52+AG52+AH52+AI52+BO52+BP52+BQ52+CF52+CG52)/45+SUM(AV52+AW52+BD52+BE52)/60</f>
        <v/>
      </c>
      <c r="CP52" s="38">
        <f>SUM(O52+P52+Q52+BL52+BM52+CB52+CC52)/65+SUM(X52+Y52)/44+SUM(AJ52+AK52+AM52+AN52+AO52+AP52+AQ52+BR52+BS52+BT52+BU52+BV52+CH52+CI52+CJ52+CK52)/45+SUM(AX52+AY52+AZ52+BA52+BF52+BG52+BH52)/60+SUM(AL52+BZ52)/50</f>
        <v/>
      </c>
      <c r="CQ52" s="38">
        <f>SUM(R52+S52+BN52+CD52+CE52)/65+SUM(AB52)/36+SUM(AR52+AS52+BW52+BX52+CL52+CM52)/40+SUM(BB52+BC52+BI52+BJ52)/60</f>
        <v/>
      </c>
      <c r="CR52" s="38">
        <f>SUM(Z52+AA52)/44</f>
        <v/>
      </c>
      <c r="CS52" s="38">
        <f>SUM(T52)/65+SUM(AC52+AD52)/40+SUM(AT52+AU52)/54</f>
        <v/>
      </c>
      <c r="CT52" s="38">
        <f>SUM(BY52+CN52)/45</f>
        <v/>
      </c>
      <c r="CU52" s="83">
        <f>SUM(U52)/75+SUM(CA52)/60</f>
        <v/>
      </c>
      <c r="CV52" s="155">
        <f>CV50+B52-L52</f>
        <v/>
      </c>
      <c r="CW52" s="155">
        <f>CW51+C52-M52</f>
        <v/>
      </c>
      <c r="CX52" s="155">
        <f>CX51+D52-N52</f>
        <v/>
      </c>
      <c r="CY52" s="155">
        <f>CY51+E52-O52</f>
        <v/>
      </c>
      <c r="CZ52" s="155">
        <f>CZ51+F52-P52</f>
        <v/>
      </c>
      <c r="DA52" s="155">
        <f>DA51+G52-Q52</f>
        <v/>
      </c>
      <c r="DB52" s="155">
        <f>DB51+H52-R52</f>
        <v/>
      </c>
      <c r="DC52" s="155">
        <f>DC51+I52-S52</f>
        <v/>
      </c>
      <c r="DD52" s="155">
        <f>DD51+J52-T52</f>
        <v/>
      </c>
      <c r="DE52" s="156" t="n"/>
    </row>
    <row r="53" ht="20.25" customHeight="1">
      <c r="A53" s="61" t="n"/>
      <c r="B53" s="152" t="n"/>
      <c r="C53" s="152" t="n"/>
      <c r="D53" s="152" t="n"/>
      <c r="E53" s="152" t="n"/>
      <c r="F53" s="152" t="n"/>
      <c r="G53" s="152" t="n"/>
      <c r="H53" s="152" t="n"/>
      <c r="I53" s="152" t="n"/>
      <c r="J53" s="152" t="n"/>
      <c r="K53" s="65" t="n"/>
      <c r="L53" s="63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52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52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62" t="n"/>
      <c r="BE53" s="62" t="n"/>
      <c r="BF53" s="62" t="n"/>
      <c r="BG53" s="62" t="n"/>
      <c r="BH53" s="62" t="n"/>
      <c r="BI53" s="62" t="n"/>
      <c r="BJ53" s="62" t="n"/>
      <c r="BK53" s="66" t="n"/>
      <c r="BL53" s="66" t="n"/>
      <c r="BM53" s="66" t="n"/>
      <c r="BN53" s="66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52" t="n"/>
      <c r="BZ53" s="153" t="n"/>
      <c r="CA53" s="153" t="n"/>
      <c r="CB53" s="66" t="n"/>
      <c r="CC53" s="154" t="n"/>
      <c r="CD53" s="66" t="n"/>
      <c r="CE53" s="66" t="n"/>
      <c r="CF53" s="69" t="n"/>
      <c r="CG53" s="69" t="n"/>
      <c r="CH53" s="69" t="n"/>
      <c r="CI53" s="69" t="n"/>
      <c r="CJ53" s="69" t="n"/>
      <c r="CK53" s="69" t="n"/>
      <c r="CL53" s="69" t="n"/>
      <c r="CM53" s="17" t="n"/>
      <c r="CN53" s="17" t="n"/>
      <c r="CO53" s="38">
        <f>SUM(L53+M53+N53+BK53)/65+SUM(V53+W53)/44+SUM(AE53+AF53+AG53+AH53+AI53+BO53+BP53+BQ53+CF53+CG53)/45+SUM(AV53+AW53+BD53+BE53)/60</f>
        <v/>
      </c>
      <c r="CP53" s="38">
        <f>SUM(O53+P53+Q53+BL53+BM53+CB53+CC53)/65+SUM(X53+Y53)/44+SUM(AJ53+AK53+AM53+AN53+AO53+AP53+AQ53+BR53+BS53+BT53+BU53+BV53+CH53+CI53+CJ53+CK53)/45+SUM(AX53+AY53+AZ53+BA53+BF53+BG53+BH53)/60+SUM(AL53+BZ53)/50</f>
        <v/>
      </c>
      <c r="CQ53" s="38">
        <f>SUM(R53+S53+BN53+CD53+CE53)/65+SUM(AB53)/36+SUM(AR53+AS53+BW53+BX53+CL53+CM53)/40+SUM(BB53+BC53+BI53+BJ53)/60</f>
        <v/>
      </c>
      <c r="CR53" s="38">
        <f>SUM(Z53+AA53)/44</f>
        <v/>
      </c>
      <c r="CS53" s="38">
        <f>SUM(T53)/65+SUM(AC53+AD53)/40+SUM(AT53+AU53)/54</f>
        <v/>
      </c>
      <c r="CT53" s="38">
        <f>SUM(BY53+CN53)/45</f>
        <v/>
      </c>
      <c r="CU53" s="83">
        <f>SUM(U53)/75+SUM(CA53)/60</f>
        <v/>
      </c>
      <c r="CV53" s="157">
        <f>CV52+B53-L53</f>
        <v/>
      </c>
      <c r="CW53" s="155">
        <f>CW52+C53-M53</f>
        <v/>
      </c>
      <c r="CX53" s="155">
        <f>CX52+D53-N53</f>
        <v/>
      </c>
      <c r="CY53" s="155">
        <f>CY52+E53-O53</f>
        <v/>
      </c>
      <c r="CZ53" s="155">
        <f>CZ52+F53-P53</f>
        <v/>
      </c>
      <c r="DA53" s="155">
        <f>DA52+G53-Q53</f>
        <v/>
      </c>
      <c r="DB53" s="155">
        <f>DB52+H53-R53</f>
        <v/>
      </c>
      <c r="DC53" s="155">
        <f>DC52+I53-S53</f>
        <v/>
      </c>
      <c r="DD53" s="155">
        <f>DD52+J53-T53</f>
        <v/>
      </c>
      <c r="DE53" s="156" t="n"/>
    </row>
    <row r="54" ht="20.25" customHeight="1">
      <c r="A54" s="6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65" t="n"/>
      <c r="L54" s="63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52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52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62" t="n"/>
      <c r="BE54" s="62" t="n"/>
      <c r="BF54" s="62" t="n"/>
      <c r="BG54" s="62" t="n"/>
      <c r="BH54" s="62" t="n"/>
      <c r="BI54" s="62" t="n"/>
      <c r="BJ54" s="62" t="n"/>
      <c r="BK54" s="66" t="n"/>
      <c r="BL54" s="66" t="n"/>
      <c r="BM54" s="66" t="n"/>
      <c r="BN54" s="66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52" t="n"/>
      <c r="BZ54" s="153" t="n"/>
      <c r="CA54" s="153" t="n"/>
      <c r="CB54" s="66" t="n"/>
      <c r="CC54" s="154" t="n"/>
      <c r="CD54" s="66" t="n"/>
      <c r="CE54" s="66" t="n"/>
      <c r="CF54" s="69" t="n"/>
      <c r="CG54" s="69" t="n"/>
      <c r="CH54" s="69" t="n"/>
      <c r="CI54" s="69" t="n"/>
      <c r="CJ54" s="69" t="n"/>
      <c r="CK54" s="69" t="n"/>
      <c r="CL54" s="69" t="n"/>
      <c r="CM54" s="17" t="n"/>
      <c r="CN54" s="17" t="n"/>
      <c r="CO54" s="38">
        <f>SUM(L54+M54+N54+BK54)/65+SUM(V54+W54)/44+SUM(AE54+AF54+AG54+AH54+AI54+BO54+BP54+BQ54+CF54+CG54)/45+SUM(AV54+AW54+BD54+BE54)/60</f>
        <v/>
      </c>
      <c r="CP54" s="38">
        <f>SUM(O54+P54+Q54+BL54+BM54+CB54+CC54)/65+SUM(X54+Y54)/44+SUM(AJ54+AK54+AM54+AN54+AO54+AP54+AQ54+BR54+BS54+BT54+BU54+BV54+CH54+CI54+CJ54+CK54)/45+SUM(AX54+AY54+AZ54+BA54+BF54+BG54+BH54)/60+SUM(AL54+BZ54)/50</f>
        <v/>
      </c>
      <c r="CQ54" s="38">
        <f>SUM(R54+S54+BN54+CD54+CE54)/65+SUM(AB54)/36+SUM(AR54+AS54+BW54+BX54+CL54+CM54)/40+SUM(BB54+BC54+BI54+BJ54)/60</f>
        <v/>
      </c>
      <c r="CR54" s="38">
        <f>SUM(Z54+AA54)/44</f>
        <v/>
      </c>
      <c r="CS54" s="38">
        <f>SUM(T54)/65+SUM(AC54+AD54)/40+SUM(AT54+AU54)/54</f>
        <v/>
      </c>
      <c r="CT54" s="38">
        <f>SUM(BY54+CN54)/45</f>
        <v/>
      </c>
      <c r="CU54" s="83">
        <f>SUM(U54)/75+SUM(CA54)/60</f>
        <v/>
      </c>
      <c r="CV54" s="155">
        <f>#REF!+B54-L54</f>
        <v/>
      </c>
      <c r="CW54" s="155">
        <f>CW53+C54-M54</f>
        <v/>
      </c>
      <c r="CX54" s="155">
        <f>CX53+D54-N54</f>
        <v/>
      </c>
      <c r="CY54" s="155">
        <f>CY53+E54-O54</f>
        <v/>
      </c>
      <c r="CZ54" s="155">
        <f>CZ53+F54-P54</f>
        <v/>
      </c>
      <c r="DA54" s="155">
        <f>DA53+G54-Q54</f>
        <v/>
      </c>
      <c r="DB54" s="155">
        <f>DB53+H54-R54</f>
        <v/>
      </c>
      <c r="DC54" s="155">
        <f>DC53+I54-S54</f>
        <v/>
      </c>
      <c r="DD54" s="155">
        <f>DD53+J54-T54</f>
        <v/>
      </c>
      <c r="DE54" s="156" t="n"/>
    </row>
    <row r="55" ht="20.25" customHeight="1">
      <c r="A55" s="6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65" t="n"/>
      <c r="L55" s="63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52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52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62" t="n"/>
      <c r="BE55" s="62" t="n"/>
      <c r="BF55" s="62" t="n"/>
      <c r="BG55" s="62" t="n"/>
      <c r="BH55" s="62" t="n"/>
      <c r="BI55" s="62" t="n"/>
      <c r="BJ55" s="62" t="n"/>
      <c r="BK55" s="66" t="n"/>
      <c r="BL55" s="66" t="n"/>
      <c r="BM55" s="66" t="n"/>
      <c r="BN55" s="66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52" t="n"/>
      <c r="BZ55" s="153" t="n"/>
      <c r="CA55" s="153" t="n"/>
      <c r="CB55" s="66" t="n"/>
      <c r="CC55" s="154" t="n"/>
      <c r="CD55" s="66" t="n"/>
      <c r="CE55" s="66" t="n"/>
      <c r="CF55" s="69" t="n"/>
      <c r="CG55" s="69" t="n"/>
      <c r="CH55" s="69" t="n"/>
      <c r="CI55" s="69" t="n"/>
      <c r="CJ55" s="69" t="n"/>
      <c r="CK55" s="69" t="n"/>
      <c r="CL55" s="69" t="n"/>
      <c r="CM55" s="17" t="n"/>
      <c r="CN55" s="17" t="n"/>
      <c r="CO55" s="38">
        <f>SUM(L55+M55+N55+BK55)/65+SUM(V55+W55)/44+SUM(AE55+AF55+AG55+AH55+AI55+BO55+BP55+BQ55+CF55+CG55)/45+SUM(AV55+AW55+BD55+BE55)/60</f>
        <v/>
      </c>
      <c r="CP55" s="38">
        <f>SUM(O55+P55+Q55+BL55+BM55+CB55+CC55)/65+SUM(X55+Y55)/44+SUM(AJ55+AK55+AM55+AN55+AO55+AP55+AQ55+BR55+BS55+BT55+BU55+BV55+CH55+CI55+CJ55+CK55)/45+SUM(AX55+AY55+AZ55+BA55+BF55+BG55+BH55)/60+SUM(AL55+BZ55)/50</f>
        <v/>
      </c>
      <c r="CQ55" s="38">
        <f>SUM(R55+S55+BN55+CD55+CE55)/65+SUM(AB55)/36+SUM(AR55+AS55+BW55+BX55+CL55+CM55)/40+SUM(BB55+BC55+BI55+BJ55)/60</f>
        <v/>
      </c>
      <c r="CR55" s="38">
        <f>SUM(Z55+AA55)/44</f>
        <v/>
      </c>
      <c r="CS55" s="38">
        <f>SUM(T55)/65+SUM(AC55+AD55)/40+SUM(AT55+AU55)/54</f>
        <v/>
      </c>
      <c r="CT55" s="38">
        <f>SUM(BY55+CN55)/45</f>
        <v/>
      </c>
      <c r="CU55" s="83">
        <f>SUM(U55)/75+SUM(CA55)/60</f>
        <v/>
      </c>
      <c r="CV55" s="155">
        <f>#REF!+B55-L55</f>
        <v/>
      </c>
      <c r="CW55" s="155">
        <f>CW54+C55-M55</f>
        <v/>
      </c>
      <c r="CX55" s="155">
        <f>CX54+D55-N55</f>
        <v/>
      </c>
      <c r="CY55" s="155">
        <f>CY54+E55-O55</f>
        <v/>
      </c>
      <c r="CZ55" s="155">
        <f>CZ54+F55-P55</f>
        <v/>
      </c>
      <c r="DA55" s="155">
        <f>DA54+G55-Q55</f>
        <v/>
      </c>
      <c r="DB55" s="155">
        <f>DB54+H55-R55</f>
        <v/>
      </c>
      <c r="DC55" s="155">
        <f>DC54+I55-S55</f>
        <v/>
      </c>
      <c r="DD55" s="155">
        <f>DD54+J55-T55</f>
        <v/>
      </c>
      <c r="DE55" s="156" t="n"/>
    </row>
    <row r="56" ht="20.25" customHeight="1">
      <c r="A56" s="6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65" t="n"/>
      <c r="L56" s="63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52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52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62" t="n"/>
      <c r="BE56" s="62" t="n"/>
      <c r="BF56" s="62" t="n"/>
      <c r="BG56" s="62" t="n"/>
      <c r="BH56" s="62" t="n"/>
      <c r="BI56" s="62" t="n"/>
      <c r="BJ56" s="62" t="n"/>
      <c r="BK56" s="66" t="n"/>
      <c r="BL56" s="66" t="n"/>
      <c r="BM56" s="66" t="n"/>
      <c r="BN56" s="66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52" t="n"/>
      <c r="BZ56" s="153" t="n"/>
      <c r="CA56" s="153" t="n"/>
      <c r="CB56" s="66" t="n"/>
      <c r="CC56" s="154" t="n"/>
      <c r="CD56" s="66" t="n"/>
      <c r="CE56" s="66" t="n"/>
      <c r="CF56" s="69" t="n"/>
      <c r="CG56" s="69" t="n"/>
      <c r="CH56" s="69" t="n"/>
      <c r="CI56" s="69" t="n"/>
      <c r="CJ56" s="69" t="n"/>
      <c r="CK56" s="69" t="n"/>
      <c r="CL56" s="69" t="n"/>
      <c r="CM56" s="17" t="n"/>
      <c r="CN56" s="17" t="n"/>
      <c r="CO56" s="38">
        <f>SUM(L56+M56+N56+BK56)/65+SUM(V56+W56)/44+SUM(AE56+AF56+AG56+AH56+AI56+BO56+BP56+BQ56+CF56+CG56)/45+SUM(AV56+AW56+BD56+BE56)/60</f>
        <v/>
      </c>
      <c r="CP56" s="38">
        <f>SUM(O56+P56+Q56+BL56+BM56+CB56+CC56)/65+SUM(X56+Y56)/44+SUM(AJ56+AK56+AM56+AN56+AO56+AP56+AQ56+BR56+BS56+BT56+BU56+BV56+CH56+CI56+CJ56+CK56)/45+SUM(AX56+AY56+AZ56+BA56+BF56+BG56+BH56)/60+SUM(AL56+BZ56)/50</f>
        <v/>
      </c>
      <c r="CQ56" s="38">
        <f>SUM(R56+S56+BN56+CD56+CE56)/65+SUM(AB56)/36+SUM(AR56+AS56+BW56+BX56+CL56+CM56)/40+SUM(BB56+BC56+BI56+BJ56)/60</f>
        <v/>
      </c>
      <c r="CR56" s="38">
        <f>SUM(Z56+AA56)/44</f>
        <v/>
      </c>
      <c r="CS56" s="38">
        <f>SUM(T56)/65+SUM(AC56+AD56)/40+SUM(AT56+AU56)/54</f>
        <v/>
      </c>
      <c r="CT56" s="38">
        <f>SUM(BY56+CN56)/45</f>
        <v/>
      </c>
      <c r="CU56" s="83">
        <f>SUM(U56)/75+SUM(CA56)/60</f>
        <v/>
      </c>
      <c r="CV56" s="155">
        <f>#REF!+B56-L56</f>
        <v/>
      </c>
      <c r="CW56" s="155">
        <f>CW55+C56-M56</f>
        <v/>
      </c>
      <c r="CX56" s="155">
        <f>CX55+D56-N56</f>
        <v/>
      </c>
      <c r="CY56" s="155">
        <f>CY55+E56-O56</f>
        <v/>
      </c>
      <c r="CZ56" s="155">
        <f>CZ55+F56-P56</f>
        <v/>
      </c>
      <c r="DA56" s="155">
        <f>DA55+G56-Q56</f>
        <v/>
      </c>
      <c r="DB56" s="155">
        <f>DB55+H56-R56</f>
        <v/>
      </c>
      <c r="DC56" s="155">
        <f>DC55+I56-S56</f>
        <v/>
      </c>
      <c r="DD56" s="155">
        <f>DD55+J56-T56</f>
        <v/>
      </c>
      <c r="DE56" s="156" t="n"/>
    </row>
    <row r="57" ht="20.25" customHeight="1">
      <c r="A57" s="6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65" t="n"/>
      <c r="L57" s="63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52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52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62" t="n"/>
      <c r="BE57" s="62" t="n"/>
      <c r="BF57" s="62" t="n"/>
      <c r="BG57" s="62" t="n"/>
      <c r="BH57" s="62" t="n"/>
      <c r="BI57" s="62" t="n"/>
      <c r="BJ57" s="62" t="n"/>
      <c r="BK57" s="66" t="n"/>
      <c r="BL57" s="66" t="n"/>
      <c r="BM57" s="66" t="n"/>
      <c r="BN57" s="66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52" t="n"/>
      <c r="BZ57" s="153" t="n"/>
      <c r="CA57" s="153" t="n"/>
      <c r="CB57" s="66" t="n"/>
      <c r="CC57" s="154" t="n"/>
      <c r="CD57" s="66" t="n"/>
      <c r="CE57" s="66" t="n"/>
      <c r="CF57" s="69" t="n"/>
      <c r="CG57" s="69" t="n"/>
      <c r="CH57" s="69" t="n"/>
      <c r="CI57" s="69" t="n"/>
      <c r="CJ57" s="69" t="n"/>
      <c r="CK57" s="69" t="n"/>
      <c r="CL57" s="69" t="n"/>
      <c r="CM57" s="17" t="n"/>
      <c r="CN57" s="17" t="n"/>
      <c r="CO57" s="38">
        <f>SUM(L57+M57+N57+BK57)/65+SUM(V57+W57)/44+SUM(AE57+AF57+AG57+AH57+AI57+BO57+BP57+BQ57+CF57+CG57)/45+SUM(AV57+AW57+BD57+BE57)/60</f>
        <v/>
      </c>
      <c r="CP57" s="38">
        <f>SUM(O57+P57+Q57+BL57+BM57+CB57+CC57)/65+SUM(X57+Y57)/44+SUM(AJ57+AK57+AM57+AN57+AO57+AP57+AQ57+BR57+BS57+BT57+BU57+BV57+CH57+CI57+CJ57+CK57)/45+SUM(AX57+AY57+AZ57+BA57+BF57+BG57+BH57)/60+SUM(AL57+BZ57)/50</f>
        <v/>
      </c>
      <c r="CQ57" s="38">
        <f>SUM(R57+S57+BN57+CD57+CE57)/65+SUM(AB57)/36+SUM(AR57+AS57+BW57+BX57+CL57+CM57)/40+SUM(BB57+BC57+BI57+BJ57)/60</f>
        <v/>
      </c>
      <c r="CR57" s="38">
        <f>SUM(Z57+AA57)/44</f>
        <v/>
      </c>
      <c r="CS57" s="38">
        <f>SUM(T57)/65+SUM(AC57+AD57)/40+SUM(AT57+AU57)/54</f>
        <v/>
      </c>
      <c r="CT57" s="38">
        <f>SUM(BY57+CN57)/45</f>
        <v/>
      </c>
      <c r="CU57" s="83">
        <f>SUM(U57)/75+SUM(CA57)/60</f>
        <v/>
      </c>
      <c r="CV57" s="155">
        <f>#REF!+B57-L57</f>
        <v/>
      </c>
      <c r="CW57" s="155">
        <f>CW56+C57-M57</f>
        <v/>
      </c>
      <c r="CX57" s="155">
        <f>CX56+D57-N57</f>
        <v/>
      </c>
      <c r="CY57" s="155">
        <f>CY56+E57-O57</f>
        <v/>
      </c>
      <c r="CZ57" s="155">
        <f>CZ56+F57-P57</f>
        <v/>
      </c>
      <c r="DA57" s="155">
        <f>DA56+G57-Q57</f>
        <v/>
      </c>
      <c r="DB57" s="155">
        <f>DB56+H57-R57</f>
        <v/>
      </c>
      <c r="DC57" s="155">
        <f>DC56+I57-S57</f>
        <v/>
      </c>
      <c r="DD57" s="155">
        <f>DD56+J57-T57</f>
        <v/>
      </c>
      <c r="DE57" s="156" t="n"/>
    </row>
    <row r="58" ht="20.25" customHeight="1">
      <c r="A58" s="61" t="n"/>
      <c r="B58" s="152" t="n"/>
      <c r="C58" s="152" t="n"/>
      <c r="D58" s="152" t="n"/>
      <c r="E58" s="152" t="n"/>
      <c r="F58" s="152" t="n"/>
      <c r="G58" s="152" t="n"/>
      <c r="H58" s="152" t="n"/>
      <c r="I58" s="152" t="n"/>
      <c r="J58" s="152" t="n"/>
      <c r="K58" s="65" t="n"/>
      <c r="L58" s="63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52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52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50" t="n"/>
      <c r="AW58" s="50" t="n"/>
      <c r="AX58" s="50" t="n"/>
      <c r="AY58" s="50" t="n"/>
      <c r="AZ58" s="50" t="n"/>
      <c r="BA58" s="50" t="n"/>
      <c r="BB58" s="50" t="n"/>
      <c r="BC58" s="50" t="n"/>
      <c r="BD58" s="62" t="n"/>
      <c r="BE58" s="62" t="n"/>
      <c r="BF58" s="62" t="n"/>
      <c r="BG58" s="62" t="n"/>
      <c r="BH58" s="62" t="n"/>
      <c r="BI58" s="62" t="n"/>
      <c r="BJ58" s="62" t="n"/>
      <c r="BK58" s="66" t="n"/>
      <c r="BL58" s="66" t="n"/>
      <c r="BM58" s="66" t="n"/>
      <c r="BN58" s="66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52" t="n"/>
      <c r="BZ58" s="153" t="n"/>
      <c r="CA58" s="153" t="n"/>
      <c r="CB58" s="66" t="n"/>
      <c r="CC58" s="154" t="n"/>
      <c r="CD58" s="66" t="n"/>
      <c r="CE58" s="66" t="n"/>
      <c r="CF58" s="69" t="n"/>
      <c r="CG58" s="69" t="n"/>
      <c r="CH58" s="69" t="n"/>
      <c r="CI58" s="69" t="n"/>
      <c r="CJ58" s="69" t="n"/>
      <c r="CK58" s="69" t="n"/>
      <c r="CL58" s="69" t="n"/>
      <c r="CM58" s="17" t="n"/>
      <c r="CN58" s="17" t="n"/>
      <c r="CO58" s="38">
        <f>SUM(L58+M58+N58+BK58)/65+SUM(V58+W58)/44+SUM(AE58+AF58+AG58+AH58+AI58+BO58+BP58+BQ58+CF58+CG58)/45+SUM(AV58+AW58+BD58+BE58)/60</f>
        <v/>
      </c>
      <c r="CP58" s="38">
        <f>SUM(O58+P58+Q58+BL58+BM58+CB58+CC58)/65+SUM(X58+Y58)/44+SUM(AJ58+AK58+AM58+AN58+AO58+AP58+AQ58+BR58+BS58+BT58+BU58+BV58+CH58+CI58+CJ58+CK58)/45+SUM(AX58+AY58+AZ58+BA58+BF58+BG58+BH58)/60+SUM(AL58+BZ58)/50</f>
        <v/>
      </c>
      <c r="CQ58" s="38">
        <f>SUM(R58+S58+BN58+CD58+CE58)/65+SUM(AB58)/36+SUM(AR58+AS58+BW58+BX58+CL58+CM58)/40+SUM(BB58+BC58+BI58+BJ58)/60</f>
        <v/>
      </c>
      <c r="CR58" s="38">
        <f>SUM(Z58+AA58)/44</f>
        <v/>
      </c>
      <c r="CS58" s="38">
        <f>SUM(T58)/65+SUM(AC58+AD58)/40+SUM(AT58+AU58)/54</f>
        <v/>
      </c>
      <c r="CT58" s="38">
        <f>SUM(BY58+CN58)/45</f>
        <v/>
      </c>
      <c r="CU58" s="83">
        <f>SUM(U58)/75+SUM(CA58)/60</f>
        <v/>
      </c>
      <c r="CV58" s="157">
        <f>CV60+B58-L58</f>
        <v/>
      </c>
      <c r="CW58" s="155">
        <f>CW57+C58-M58</f>
        <v/>
      </c>
      <c r="CX58" s="155">
        <f>CX57+D58-N58</f>
        <v/>
      </c>
      <c r="CY58" s="155">
        <f>CY57+E58-O58</f>
        <v/>
      </c>
      <c r="CZ58" s="155">
        <f>CZ57+F58-P58</f>
        <v/>
      </c>
      <c r="DA58" s="155">
        <f>DA57+G58-Q58</f>
        <v/>
      </c>
      <c r="DB58" s="155">
        <f>DB57+H58-R58</f>
        <v/>
      </c>
      <c r="DC58" s="155">
        <f>DC57+I58-S58</f>
        <v/>
      </c>
      <c r="DD58" s="155">
        <f>DD57+J58-T58</f>
        <v/>
      </c>
      <c r="DE58" s="156" t="n"/>
    </row>
    <row r="59" ht="20.25" customHeight="1">
      <c r="A59" s="6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65" t="n"/>
      <c r="L59" s="63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52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52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50" t="n"/>
      <c r="AW59" s="50" t="n"/>
      <c r="AX59" s="50" t="n"/>
      <c r="AY59" s="50" t="n"/>
      <c r="AZ59" s="50" t="n"/>
      <c r="BA59" s="50" t="n"/>
      <c r="BB59" s="50" t="n"/>
      <c r="BC59" s="50" t="n"/>
      <c r="BD59" s="62" t="n"/>
      <c r="BE59" s="62" t="n"/>
      <c r="BF59" s="62" t="n"/>
      <c r="BG59" s="62" t="n"/>
      <c r="BH59" s="62" t="n"/>
      <c r="BI59" s="62" t="n"/>
      <c r="BJ59" s="62" t="n"/>
      <c r="BK59" s="66" t="n"/>
      <c r="BL59" s="66" t="n"/>
      <c r="BM59" s="66" t="n"/>
      <c r="BN59" s="66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52" t="n"/>
      <c r="BZ59" s="153" t="n"/>
      <c r="CA59" s="153" t="n"/>
      <c r="CB59" s="66" t="n"/>
      <c r="CC59" s="154" t="n"/>
      <c r="CD59" s="66" t="n"/>
      <c r="CE59" s="66" t="n"/>
      <c r="CF59" s="69" t="n"/>
      <c r="CG59" s="69" t="n"/>
      <c r="CH59" s="69" t="n"/>
      <c r="CI59" s="69" t="n"/>
      <c r="CJ59" s="69" t="n"/>
      <c r="CK59" s="69" t="n"/>
      <c r="CL59" s="69" t="n"/>
      <c r="CM59" s="17" t="n"/>
      <c r="CN59" s="17" t="n"/>
      <c r="CO59" s="38">
        <f>SUM(L59+M59+N59+BK59)/65+SUM(V59+W59)/44+SUM(AE59+AF59+AG59+AH59+AI59+BO59+BP59+BQ59+CF59+CG59)/45+SUM(AV59+AW59+BD59+BE59)/60</f>
        <v/>
      </c>
      <c r="CP59" s="38">
        <f>SUM(O59+P59+Q59+BL59+BM59+CB59+CC59)/65+SUM(X59+Y59)/44+SUM(AJ59+AK59+AM59+AN59+AO59+AP59+AQ59+BR59+BS59+BT59+BU59+BV59+CH59+CI59+CJ59+CK59)/45+SUM(AX59+AY59+AZ59+BA59+BF59+BG59+BH59)/60+SUM(AL59+BZ59)/50</f>
        <v/>
      </c>
      <c r="CQ59" s="38">
        <f>SUM(R59+S59+BN59+CD59+CE59)/65+SUM(AB59)/36+SUM(AR59+AS59+BW59+BX59+CL59+CM59)/40+SUM(BB59+BC59+BI59+BJ59)/60</f>
        <v/>
      </c>
      <c r="CR59" s="38">
        <f>SUM(Z59+AA59)/44</f>
        <v/>
      </c>
      <c r="CS59" s="38">
        <f>SUM(T59)/65+SUM(AC59+AD59)/40+SUM(AT59+AU59)/54</f>
        <v/>
      </c>
      <c r="CT59" s="38">
        <f>SUM(BY59+CN59)/45</f>
        <v/>
      </c>
      <c r="CU59" s="83">
        <f>SUM(U59)/75+SUM(CA59)/60</f>
        <v/>
      </c>
      <c r="CV59" s="155">
        <f>#REF!+B59-L59</f>
        <v/>
      </c>
      <c r="CW59" s="155">
        <f>CW58+C59-M59</f>
        <v/>
      </c>
      <c r="CX59" s="155">
        <f>CX58+D59-N59</f>
        <v/>
      </c>
      <c r="CY59" s="155">
        <f>CY58+E59-O59</f>
        <v/>
      </c>
      <c r="CZ59" s="155">
        <f>CZ58+F59-P59</f>
        <v/>
      </c>
      <c r="DA59" s="155">
        <f>DA58+G59-Q59</f>
        <v/>
      </c>
      <c r="DB59" s="155">
        <f>DB58+H59-R59</f>
        <v/>
      </c>
      <c r="DC59" s="155">
        <f>DC58+I59-S59</f>
        <v/>
      </c>
      <c r="DD59" s="155">
        <f>DD58+J59-T59</f>
        <v/>
      </c>
      <c r="DE59" s="156" t="n"/>
    </row>
    <row r="60" ht="20.25" customHeight="1">
      <c r="A60" s="6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65" t="n"/>
      <c r="L60" s="63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52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52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62" t="n"/>
      <c r="BE60" s="62" t="n"/>
      <c r="BF60" s="62" t="n"/>
      <c r="BG60" s="62" t="n"/>
      <c r="BH60" s="62" t="n"/>
      <c r="BI60" s="62" t="n"/>
      <c r="BJ60" s="62" t="n"/>
      <c r="BK60" s="66" t="n"/>
      <c r="BL60" s="66" t="n"/>
      <c r="BM60" s="66" t="n"/>
      <c r="BN60" s="66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52" t="n"/>
      <c r="BZ60" s="153" t="n"/>
      <c r="CA60" s="153" t="n"/>
      <c r="CB60" s="66" t="n"/>
      <c r="CC60" s="154" t="n"/>
      <c r="CD60" s="66" t="n"/>
      <c r="CE60" s="66" t="n"/>
      <c r="CF60" s="69" t="n"/>
      <c r="CG60" s="69" t="n"/>
      <c r="CH60" s="69" t="n"/>
      <c r="CI60" s="69" t="n"/>
      <c r="CJ60" s="69" t="n"/>
      <c r="CK60" s="69" t="n"/>
      <c r="CL60" s="69" t="n"/>
      <c r="CM60" s="17" t="n"/>
      <c r="CN60" s="17" t="n"/>
      <c r="CO60" s="38">
        <f>SUM(L60+M60+N60+BK60)/65+SUM(V60+W60)/44+SUM(AE60+AF60+AG60+AH60+AI60+BO60+BP60+BQ60+CF60+CG60)/45+SUM(AV60+AW60+BD60+BE60)/60</f>
        <v/>
      </c>
      <c r="CP60" s="38">
        <f>SUM(O60+P60+Q60+BL60+BM60+CB60+CC60)/65+SUM(X60+Y60)/44+SUM(AJ60+AK60+AM60+AN60+AO60+AP60+AQ60+BR60+BS60+BT60+BU60+BV60+CH60+CI60+CJ60+CK60)/45+SUM(AX60+AY60+AZ60+BA60+BF60+BG60+BH60)/60+SUM(AL60+BZ60)/50</f>
        <v/>
      </c>
      <c r="CQ60" s="38">
        <f>SUM(R60+S60+BN60+CD60+CE60)/65+SUM(AB60)/36+SUM(AR60+AS60+BW60+BX60+CL60+CM60)/40+SUM(BB60+BC60+BI60+BJ60)/60</f>
        <v/>
      </c>
      <c r="CR60" s="38">
        <f>SUM(Z60+AA60)/44</f>
        <v/>
      </c>
      <c r="CS60" s="38">
        <f>SUM(T60)/65+SUM(AC60+AD60)/40+SUM(AT60+AU60)/54</f>
        <v/>
      </c>
      <c r="CT60" s="38">
        <f>SUM(BY60+CN60)/45</f>
        <v/>
      </c>
      <c r="CU60" s="83">
        <f>SUM(U60)/75+SUM(CA60)/60</f>
        <v/>
      </c>
      <c r="CV60" s="155">
        <f>CV56+B60-L60</f>
        <v/>
      </c>
      <c r="CW60" s="155">
        <f>CW59+C60-M60</f>
        <v/>
      </c>
      <c r="CX60" s="155">
        <f>CX59+D60-N60</f>
        <v/>
      </c>
      <c r="CY60" s="155">
        <f>CY59+E60-O60</f>
        <v/>
      </c>
      <c r="CZ60" s="155">
        <f>CZ59+F60-P60</f>
        <v/>
      </c>
      <c r="DA60" s="155">
        <f>DA59+G60-Q60</f>
        <v/>
      </c>
      <c r="DB60" s="155">
        <f>DB59+H60-R60</f>
        <v/>
      </c>
      <c r="DC60" s="155">
        <f>DC59+I60-S60</f>
        <v/>
      </c>
      <c r="DD60" s="155">
        <f>DD59+J60-T60</f>
        <v/>
      </c>
      <c r="DE60" s="156" t="n"/>
    </row>
    <row r="61" ht="20.25" customHeight="1">
      <c r="A61" s="6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65" t="n"/>
      <c r="L61" s="63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52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52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62" t="n"/>
      <c r="BE61" s="62" t="n"/>
      <c r="BF61" s="62" t="n"/>
      <c r="BG61" s="62" t="n"/>
      <c r="BH61" s="62" t="n"/>
      <c r="BI61" s="62" t="n"/>
      <c r="BJ61" s="62" t="n"/>
      <c r="BK61" s="66" t="n"/>
      <c r="BL61" s="66" t="n"/>
      <c r="BM61" s="66" t="n"/>
      <c r="BN61" s="66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52" t="n"/>
      <c r="BZ61" s="153" t="n"/>
      <c r="CA61" s="153" t="n"/>
      <c r="CB61" s="66" t="n"/>
      <c r="CC61" s="154" t="n"/>
      <c r="CD61" s="66" t="n"/>
      <c r="CE61" s="66" t="n"/>
      <c r="CF61" s="69" t="n"/>
      <c r="CG61" s="69" t="n"/>
      <c r="CH61" s="69" t="n"/>
      <c r="CI61" s="69" t="n"/>
      <c r="CJ61" s="69" t="n"/>
      <c r="CK61" s="69" t="n"/>
      <c r="CL61" s="69" t="n"/>
      <c r="CM61" s="17" t="n"/>
      <c r="CN61" s="17" t="n"/>
      <c r="CO61" s="38">
        <f>SUM(L61+M61+N61+BK61)/65+SUM(V61+W61)/44+SUM(AE61+AF61+AG61+AH61+AI61+BO61+BP61+BQ61+CF61+CG61)/45+SUM(AV61+AW61+BD61+BE61)/60</f>
        <v/>
      </c>
      <c r="CP61" s="38">
        <f>SUM(O61+P61+Q61+BL61+BM61+CB61+CC61)/65+SUM(X61+Y61)/44+SUM(AJ61+AK61+AM61+AN61+AO61+AP61+AQ61+BR61+BS61+BT61+BU61+BV61+CH61+CI61+CJ61+CK61)/45+SUM(AX61+AY61+AZ61+BA61+BF61+BG61+BH61)/60+SUM(AL61+BZ61)/50</f>
        <v/>
      </c>
      <c r="CQ61" s="38">
        <f>SUM(R61+S61+BN61+CD61+CE61)/65+SUM(AB61)/36+SUM(AR61+AS61+BW61+BX61+CL61+CM61)/40+SUM(BB61+BC61+BI61+BJ61)/60</f>
        <v/>
      </c>
      <c r="CR61" s="38">
        <f>SUM(Z61+AA61)/44</f>
        <v/>
      </c>
      <c r="CS61" s="38">
        <f>SUM(T61)/65+SUM(AC61+AD61)/40+SUM(AT61+AU61)/54</f>
        <v/>
      </c>
      <c r="CT61" s="38">
        <f>SUM(BY61+CN61)/45</f>
        <v/>
      </c>
      <c r="CU61" s="83">
        <f>SUM(U61)/75+SUM(CA61)/60</f>
        <v/>
      </c>
      <c r="CV61" s="155">
        <f>CV6+B61-L61</f>
        <v/>
      </c>
      <c r="CW61" s="155">
        <f>CW60+C61-M61</f>
        <v/>
      </c>
      <c r="CX61" s="155">
        <f>CX60+D61-N61</f>
        <v/>
      </c>
      <c r="CY61" s="155">
        <f>CY60+E61-O61</f>
        <v/>
      </c>
      <c r="CZ61" s="155">
        <f>CZ60+F61-P61</f>
        <v/>
      </c>
      <c r="DA61" s="155">
        <f>DA60+G61-Q61</f>
        <v/>
      </c>
      <c r="DB61" s="155">
        <f>DB60+H61-R61</f>
        <v/>
      </c>
      <c r="DC61" s="155">
        <f>DC60+I61-S61</f>
        <v/>
      </c>
      <c r="DD61" s="155">
        <f>DD60+J61-T61</f>
        <v/>
      </c>
      <c r="DE61" s="156" t="n"/>
    </row>
    <row r="62" ht="20.25" customHeight="1">
      <c r="A62" s="6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65" t="n"/>
      <c r="L62" s="63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52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52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62" t="n"/>
      <c r="BE62" s="62" t="n"/>
      <c r="BF62" s="62" t="n"/>
      <c r="BG62" s="62" t="n"/>
      <c r="BH62" s="62" t="n"/>
      <c r="BI62" s="62" t="n"/>
      <c r="BJ62" s="62" t="n"/>
      <c r="BK62" s="66" t="n"/>
      <c r="BL62" s="66" t="n"/>
      <c r="BM62" s="66" t="n"/>
      <c r="BN62" s="66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52" t="n"/>
      <c r="BZ62" s="153" t="n"/>
      <c r="CA62" s="153" t="n"/>
      <c r="CB62" s="66" t="n"/>
      <c r="CC62" s="154" t="n"/>
      <c r="CD62" s="66" t="n"/>
      <c r="CE62" s="66" t="n"/>
      <c r="CF62" s="69" t="n"/>
      <c r="CG62" s="69" t="n"/>
      <c r="CH62" s="69" t="n"/>
      <c r="CI62" s="69" t="n"/>
      <c r="CJ62" s="69" t="n"/>
      <c r="CK62" s="69" t="n"/>
      <c r="CL62" s="69" t="n"/>
      <c r="CM62" s="17" t="n"/>
      <c r="CN62" s="17" t="n"/>
      <c r="CO62" s="38">
        <f>SUM(L62+M62+N62+BK62)/65+SUM(V62+W62)/44+SUM(AE62+AF62+AG62+AH62+AI62+BO62+BP62+BQ62+CF62+CG62)/45+SUM(AV62+AW62+BD62+BE62)/60</f>
        <v/>
      </c>
      <c r="CP62" s="38">
        <f>SUM(O62+P62+Q62+BL62+BM62+CB62+CC62)/65+SUM(X62+Y62)/44+SUM(AJ62+AK62+AM62+AN62+AO62+AP62+AQ62+BR62+BS62+BT62+BU62+BV62+CH62+CI62+CJ62+CK62)/45+SUM(AX62+AY62+AZ62+BA62+BF62+BG62+BH62)/60+SUM(AL62+BZ62)/50</f>
        <v/>
      </c>
      <c r="CQ62" s="38">
        <f>SUM(R62+S62+BN62+CD62+CE62)/65+SUM(AB62)/36+SUM(AR62+AS62+BW62+BX62+CL62+CM62)/40+SUM(BB62+BC62+BI62+BJ62)/60</f>
        <v/>
      </c>
      <c r="CR62" s="38">
        <f>SUM(Z62+AA62)/44</f>
        <v/>
      </c>
      <c r="CS62" s="38">
        <f>SUM(T62)/65+SUM(AC62+AD62)/40+SUM(AT62+AU62)/54</f>
        <v/>
      </c>
      <c r="CT62" s="38">
        <f>SUM(BY62+CN62)/45</f>
        <v/>
      </c>
      <c r="CU62" s="83">
        <f>SUM(U62)/75+SUM(CA62)/60</f>
        <v/>
      </c>
      <c r="CV62" s="155">
        <f>#REF!+B62-L62</f>
        <v/>
      </c>
      <c r="CW62" s="155">
        <f>CW61+C62-M62</f>
        <v/>
      </c>
      <c r="CX62" s="155">
        <f>CX61+D62-N62</f>
        <v/>
      </c>
      <c r="CY62" s="155">
        <f>CY61+E62-O62</f>
        <v/>
      </c>
      <c r="CZ62" s="155">
        <f>CZ61+F62-P62</f>
        <v/>
      </c>
      <c r="DA62" s="155">
        <f>DA61+G62-Q62</f>
        <v/>
      </c>
      <c r="DB62" s="155">
        <f>DB61+H62-R62</f>
        <v/>
      </c>
      <c r="DC62" s="155">
        <f>DC61+I62-S62</f>
        <v/>
      </c>
      <c r="DD62" s="155">
        <f>DD61+J62-T62</f>
        <v/>
      </c>
      <c r="DE62" s="156" t="n"/>
    </row>
    <row r="63" ht="20.25" customHeight="1">
      <c r="A63" s="6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65" t="n"/>
      <c r="L63" s="63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52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52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62" t="n"/>
      <c r="BE63" s="62" t="n"/>
      <c r="BF63" s="62" t="n"/>
      <c r="BG63" s="62" t="n"/>
      <c r="BH63" s="62" t="n"/>
      <c r="BI63" s="62" t="n"/>
      <c r="BJ63" s="62" t="n"/>
      <c r="BK63" s="66" t="n"/>
      <c r="BL63" s="66" t="n"/>
      <c r="BM63" s="66" t="n"/>
      <c r="BN63" s="66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52" t="n"/>
      <c r="BZ63" s="153" t="n"/>
      <c r="CA63" s="153" t="n"/>
      <c r="CB63" s="66" t="n"/>
      <c r="CC63" s="154" t="n"/>
      <c r="CD63" s="66" t="n"/>
      <c r="CE63" s="66" t="n"/>
      <c r="CF63" s="69" t="n"/>
      <c r="CG63" s="69" t="n"/>
      <c r="CH63" s="69" t="n"/>
      <c r="CI63" s="69" t="n"/>
      <c r="CJ63" s="69" t="n"/>
      <c r="CK63" s="69" t="n"/>
      <c r="CL63" s="69" t="n"/>
      <c r="CM63" s="17" t="n"/>
      <c r="CN63" s="17" t="n"/>
      <c r="CO63" s="38">
        <f>SUM(L63+M63+N63+BK63)/65+SUM(V63+W63)/44+SUM(AE63+AF63+AG63+AH63+AI63+BO63+BP63+BQ63+CF63+CG63)/45+SUM(AV63+AW63+BD63+BE63)/60</f>
        <v/>
      </c>
      <c r="CP63" s="38">
        <f>SUM(O63+P63+Q63+BL63+BM63+CB63+CC63)/65+SUM(X63+Y63)/44+SUM(AJ63+AK63+AM63+AN63+AO63+AP63+AQ63+BR63+BS63+BT63+BU63+BV63+CH63+CI63+CJ63+CK63)/45+SUM(AX63+AY63+AZ63+BA63+BF63+BG63+BH63)/60+SUM(AL63+BZ63)/50</f>
        <v/>
      </c>
      <c r="CQ63" s="38">
        <f>SUM(R63+S63+BN63+CD63+CE63)/65+SUM(AB63)/36+SUM(AR63+AS63+BW63+BX63+CL63+CM63)/40+SUM(BB63+BC63+BI63+BJ63)/60</f>
        <v/>
      </c>
      <c r="CR63" s="38">
        <f>SUM(Z63+AA63)/44</f>
        <v/>
      </c>
      <c r="CS63" s="38">
        <f>SUM(T63)/65+SUM(AC63+AD63)/40+SUM(AT63+AU63)/54</f>
        <v/>
      </c>
      <c r="CT63" s="38">
        <f>SUM(BY63+CN63)/45</f>
        <v/>
      </c>
      <c r="CU63" s="83">
        <f>SUM(U63)/75+SUM(CA63)/60</f>
        <v/>
      </c>
      <c r="CV63" s="155">
        <f>#REF!+B63-L63</f>
        <v/>
      </c>
      <c r="CW63" s="155">
        <f>CW62+C63-M63</f>
        <v/>
      </c>
      <c r="CX63" s="155">
        <f>CX62+D63-N63</f>
        <v/>
      </c>
      <c r="CY63" s="155">
        <f>CY62+E63-O63</f>
        <v/>
      </c>
      <c r="CZ63" s="155">
        <f>CZ62+F63-P63</f>
        <v/>
      </c>
      <c r="DA63" s="155">
        <f>DA62+G63-Q63</f>
        <v/>
      </c>
      <c r="DB63" s="155">
        <f>DB62+H63-R63</f>
        <v/>
      </c>
      <c r="DC63" s="155">
        <f>DC62+I63-S63</f>
        <v/>
      </c>
      <c r="DD63" s="155">
        <f>DD62+J63-T63</f>
        <v/>
      </c>
      <c r="DE63" s="156" t="n"/>
    </row>
    <row r="64" ht="20.25" customHeight="1">
      <c r="A64" s="6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65" t="n"/>
      <c r="L64" s="63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52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52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62" t="n"/>
      <c r="BE64" s="62" t="n"/>
      <c r="BF64" s="62" t="n"/>
      <c r="BG64" s="62" t="n"/>
      <c r="BH64" s="62" t="n"/>
      <c r="BI64" s="62" t="n"/>
      <c r="BJ64" s="62" t="n"/>
      <c r="BK64" s="66" t="n"/>
      <c r="BL64" s="66" t="n"/>
      <c r="BM64" s="66" t="n"/>
      <c r="BN64" s="66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52" t="n"/>
      <c r="BZ64" s="153" t="n"/>
      <c r="CA64" s="153" t="n"/>
      <c r="CB64" s="66" t="n"/>
      <c r="CC64" s="154" t="n"/>
      <c r="CD64" s="66" t="n"/>
      <c r="CE64" s="66" t="n"/>
      <c r="CF64" s="69" t="n"/>
      <c r="CG64" s="69" t="n"/>
      <c r="CH64" s="69" t="n"/>
      <c r="CI64" s="69" t="n"/>
      <c r="CJ64" s="69" t="n"/>
      <c r="CK64" s="69" t="n"/>
      <c r="CL64" s="69" t="n"/>
      <c r="CM64" s="17" t="n"/>
      <c r="CN64" s="17" t="n"/>
      <c r="CO64" s="38">
        <f>SUM(L64+M64+N64+BK64)/65+SUM(V64+W64)/44+SUM(AE64+AF64+AG64+AH64+AI64+BO64+BP64+BQ64+CF64+CG64)/45+SUM(AV64+AW64+BD64+BE64)/60</f>
        <v/>
      </c>
      <c r="CP64" s="38">
        <f>SUM(O64+P64+Q64+BL64+BM64+CB64+CC64)/65+SUM(X64+Y64)/44+SUM(AJ64+AK64+AM64+AN64+AO64+AP64+AQ64+BR64+BS64+BT64+BU64+BV64+CH64+CI64+CJ64+CK64)/45+SUM(AX64+AY64+AZ64+BA64+BF64+BG64+BH64)/60+SUM(AL64+BZ64)/50</f>
        <v/>
      </c>
      <c r="CQ64" s="38">
        <f>SUM(R64+S64+BN64+CD64+CE64)/65+SUM(AB64)/36+SUM(AR64+AS64+BW64+BX64+CL64+CM64)/40+SUM(BB64+BC64+BI64+BJ64)/60</f>
        <v/>
      </c>
      <c r="CR64" s="38">
        <f>SUM(Z64+AA64)/44</f>
        <v/>
      </c>
      <c r="CS64" s="38">
        <f>SUM(T64)/65+SUM(AC64+AD64)/40+SUM(AT64+AU64)/54</f>
        <v/>
      </c>
      <c r="CT64" s="38">
        <f>SUM(BY64+CN64)/45</f>
        <v/>
      </c>
      <c r="CU64" s="83">
        <f>SUM(U64)/75+SUM(CA64)/60</f>
        <v/>
      </c>
      <c r="CV64" s="155">
        <f>#REF!+B64-L64</f>
        <v/>
      </c>
      <c r="CW64" s="155">
        <f>CW63+C64-M64</f>
        <v/>
      </c>
      <c r="CX64" s="155">
        <f>CX63+D64-N64</f>
        <v/>
      </c>
      <c r="CY64" s="155">
        <f>CY63+E64-O64</f>
        <v/>
      </c>
      <c r="CZ64" s="155">
        <f>CZ63+F64-P64</f>
        <v/>
      </c>
      <c r="DA64" s="155">
        <f>DA63+G64-Q64</f>
        <v/>
      </c>
      <c r="DB64" s="155">
        <f>DB63+H64-R64</f>
        <v/>
      </c>
      <c r="DC64" s="155">
        <f>DC63+I64-S64</f>
        <v/>
      </c>
      <c r="DD64" s="155">
        <f>DD63+J64-T64</f>
        <v/>
      </c>
      <c r="DE64" s="156" t="n"/>
    </row>
    <row r="65" ht="20.25" customHeight="1">
      <c r="A65" s="6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65" t="n"/>
      <c r="L65" s="63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52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52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62" t="n"/>
      <c r="BE65" s="62" t="n"/>
      <c r="BF65" s="62" t="n"/>
      <c r="BG65" s="62" t="n"/>
      <c r="BH65" s="62" t="n"/>
      <c r="BI65" s="62" t="n"/>
      <c r="BJ65" s="62" t="n"/>
      <c r="BK65" s="66" t="n"/>
      <c r="BL65" s="66" t="n"/>
      <c r="BM65" s="66" t="n"/>
      <c r="BN65" s="66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52" t="n"/>
      <c r="BZ65" s="153" t="n"/>
      <c r="CA65" s="153" t="n"/>
      <c r="CB65" s="66" t="n"/>
      <c r="CC65" s="154" t="n"/>
      <c r="CD65" s="66" t="n"/>
      <c r="CE65" s="66" t="n"/>
      <c r="CF65" s="69" t="n"/>
      <c r="CG65" s="69" t="n"/>
      <c r="CH65" s="69" t="n"/>
      <c r="CI65" s="69" t="n"/>
      <c r="CJ65" s="69" t="n"/>
      <c r="CK65" s="69" t="n"/>
      <c r="CL65" s="69" t="n"/>
      <c r="CM65" s="17" t="n"/>
      <c r="CN65" s="17" t="n"/>
      <c r="CO65" s="38">
        <f>SUM(L65+M65+N65+BK65)/65+SUM(V65+W65)/44+SUM(AE65+AF65+AG65+AH65+AI65+BO65+BP65+BQ65+CF65+CG65)/45+SUM(AV65+AW65+BD65+BE65)/60</f>
        <v/>
      </c>
      <c r="CP65" s="38">
        <f>SUM(O65+P65+Q65+BL65+BM65+CB65+CC65)/65+SUM(X65+Y65)/44+SUM(AJ65+AK65+AM65+AN65+AO65+AP65+AQ65+BR65+BS65+BT65+BU65+BV65+CH65+CI65+CJ65+CK65)/45+SUM(AX65+AY65+AZ65+BA65+BF65+BG65+BH65)/60+SUM(AL65+BZ65)/50</f>
        <v/>
      </c>
      <c r="CQ65" s="38">
        <f>SUM(R65+S65+BN65+CD65+CE65)/65+SUM(AB65)/36+SUM(AR65+AS65+BW65+BX65+CL65+CM65)/40+SUM(BB65+BC65+BI65+BJ65)/60</f>
        <v/>
      </c>
      <c r="CR65" s="38">
        <f>SUM(Z65+AA65)/44</f>
        <v/>
      </c>
      <c r="CS65" s="38">
        <f>SUM(T65)/65+SUM(AC65+AD65)/40+SUM(AT65+AU65)/54</f>
        <v/>
      </c>
      <c r="CT65" s="38">
        <f>SUM(BY65+CN65)/45</f>
        <v/>
      </c>
      <c r="CU65" s="83">
        <f>SUM(U65)/75+SUM(CA65)/60</f>
        <v/>
      </c>
      <c r="CV65" s="155">
        <f>#REF!+B65-L65</f>
        <v/>
      </c>
      <c r="CW65" s="155">
        <f>CW64+C65-M65</f>
        <v/>
      </c>
      <c r="CX65" s="155">
        <f>CX64+D65-N65</f>
        <v/>
      </c>
      <c r="CY65" s="155">
        <f>CY64+E65-O65</f>
        <v/>
      </c>
      <c r="CZ65" s="155">
        <f>CZ64+F65-P65</f>
        <v/>
      </c>
      <c r="DA65" s="155">
        <f>DA64+G65-Q65</f>
        <v/>
      </c>
      <c r="DB65" s="155">
        <f>DB64+H65-R65</f>
        <v/>
      </c>
      <c r="DC65" s="155">
        <f>DC64+I65-S65</f>
        <v/>
      </c>
      <c r="DD65" s="155">
        <f>DD64+J65-T65</f>
        <v/>
      </c>
      <c r="DE65" s="156" t="n"/>
    </row>
    <row r="66" ht="20.25" customHeight="1">
      <c r="A66" s="6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65" t="n"/>
      <c r="L66" s="63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52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52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62" t="n"/>
      <c r="BE66" s="62" t="n"/>
      <c r="BF66" s="62" t="n"/>
      <c r="BG66" s="62" t="n"/>
      <c r="BH66" s="62" t="n"/>
      <c r="BI66" s="62" t="n"/>
      <c r="BJ66" s="62" t="n"/>
      <c r="BK66" s="66" t="n"/>
      <c r="BL66" s="66" t="n"/>
      <c r="BM66" s="66" t="n"/>
      <c r="BN66" s="66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52" t="n"/>
      <c r="BZ66" s="153" t="n"/>
      <c r="CA66" s="153" t="n"/>
      <c r="CB66" s="66" t="n"/>
      <c r="CC66" s="154" t="n"/>
      <c r="CD66" s="66" t="n"/>
      <c r="CE66" s="66" t="n"/>
      <c r="CF66" s="69" t="n"/>
      <c r="CG66" s="69" t="n"/>
      <c r="CH66" s="69" t="n"/>
      <c r="CI66" s="69" t="n"/>
      <c r="CJ66" s="69" t="n"/>
      <c r="CK66" s="69" t="n"/>
      <c r="CL66" s="69" t="n"/>
      <c r="CM66" s="17" t="n"/>
      <c r="CN66" s="17" t="n"/>
      <c r="CO66" s="38">
        <f>SUM(L66+M66+N66+BK66)/65+SUM(V66+W66)/44+SUM(AE66+AF66+AG66+AH66+AI66+BO66+BP66+BQ66+CF66+CG66)/45+SUM(AV66+AW66+BD66+BE66)/60</f>
        <v/>
      </c>
      <c r="CP66" s="38">
        <f>SUM(O66+P66+Q66+BL66+BM66+CB66+CC66)/65+SUM(X66+Y66)/44+SUM(AJ66+AK66+AM66+AN66+AO66+AP66+AQ66+BR66+BS66+BT66+BU66+BV66+CH66+CI66+CJ66+CK66)/45+SUM(AX66+AY66+AZ66+BA66+BF66+BG66+BH66)/60+SUM(AL66+BZ66)/50</f>
        <v/>
      </c>
      <c r="CQ66" s="38">
        <f>SUM(R66+S66+BN66+CD66+CE66)/65+SUM(AB66)/36+SUM(AR66+AS66+BW66+BX66+CL66+CM66)/40+SUM(BB66+BC66+BI66+BJ66)/60</f>
        <v/>
      </c>
      <c r="CR66" s="38">
        <f>SUM(Z66+AA66)/44</f>
        <v/>
      </c>
      <c r="CS66" s="38">
        <f>SUM(T66)/65+SUM(AC66+AD66)/40+SUM(AT66+AU66)/54</f>
        <v/>
      </c>
      <c r="CT66" s="38">
        <f>SUM(BY66+CN66)/45</f>
        <v/>
      </c>
      <c r="CU66" s="83">
        <f>SUM(U66)/75+SUM(CA66)/60</f>
        <v/>
      </c>
      <c r="CV66" s="155">
        <f>CV63+B66-L66</f>
        <v/>
      </c>
      <c r="CW66" s="155">
        <f>CW65+C66-M66</f>
        <v/>
      </c>
      <c r="CX66" s="155">
        <f>CX65+D66-N66</f>
        <v/>
      </c>
      <c r="CY66" s="155">
        <f>CY65+E66-O66</f>
        <v/>
      </c>
      <c r="CZ66" s="155">
        <f>CZ65+F66-P66</f>
        <v/>
      </c>
      <c r="DA66" s="155">
        <f>DA65+G66-Q66</f>
        <v/>
      </c>
      <c r="DB66" s="155">
        <f>DB65+H66-R66</f>
        <v/>
      </c>
      <c r="DC66" s="155">
        <f>DC65+I66-S66</f>
        <v/>
      </c>
      <c r="DD66" s="155">
        <f>DD65+J66-T66</f>
        <v/>
      </c>
      <c r="DE66" s="156" t="n"/>
    </row>
    <row r="67" ht="20.25" customHeight="1">
      <c r="A67" s="61" t="n"/>
      <c r="B67" s="152" t="n"/>
      <c r="C67" s="152" t="n"/>
      <c r="D67" s="152" t="n"/>
      <c r="E67" s="152" t="n"/>
      <c r="F67" s="152" t="n"/>
      <c r="G67" s="152" t="n"/>
      <c r="H67" s="152" t="n"/>
      <c r="I67" s="152" t="n"/>
      <c r="J67" s="152" t="n"/>
      <c r="K67" s="65" t="n"/>
      <c r="L67" s="63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52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52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62" t="n"/>
      <c r="BE67" s="62" t="n"/>
      <c r="BF67" s="62" t="n"/>
      <c r="BG67" s="62" t="n"/>
      <c r="BH67" s="62" t="n"/>
      <c r="BI67" s="62" t="n"/>
      <c r="BJ67" s="62" t="n"/>
      <c r="BK67" s="66" t="n"/>
      <c r="BL67" s="66" t="n"/>
      <c r="BM67" s="66" t="n"/>
      <c r="BN67" s="66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52" t="n"/>
      <c r="BZ67" s="153" t="n"/>
      <c r="CA67" s="153" t="n"/>
      <c r="CB67" s="66" t="n"/>
      <c r="CC67" s="154" t="n"/>
      <c r="CD67" s="66" t="n"/>
      <c r="CE67" s="66" t="n"/>
      <c r="CF67" s="69" t="n"/>
      <c r="CG67" s="69" t="n"/>
      <c r="CH67" s="69" t="n"/>
      <c r="CI67" s="69" t="n"/>
      <c r="CJ67" s="69" t="n"/>
      <c r="CK67" s="69" t="n"/>
      <c r="CL67" s="69" t="n"/>
      <c r="CM67" s="17" t="n"/>
      <c r="CN67" s="17" t="n"/>
      <c r="CO67" s="38">
        <f>SUM(L67+M67+N67+BK67)/65+SUM(V67+W67)/44+SUM(AE67+AF67+AG67+AH67+AI67+BO67+BP67+BQ67+CF67+CG67)/45+SUM(AV67+AW67+BD67+BE67)/60</f>
        <v/>
      </c>
      <c r="CP67" s="38">
        <f>SUM(O67+P67+Q67+BL67+BM67+CB67+CC67)/65+SUM(X67+Y67)/44+SUM(AJ67+AK67+AM67+AN67+AO67+AP67+AQ67+BR67+BS67+BT67+BU67+BV67+CH67+CI67+CJ67+CK67)/45+SUM(AX67+AY67+AZ67+BA67+BF67+BG67+BH67)/60+SUM(AL67+BZ67)/50</f>
        <v/>
      </c>
      <c r="CQ67" s="38">
        <f>SUM(R67+S67+BN67+CD67+CE67)/65+SUM(AB67)/36+SUM(AR67+AS67+BW67+BX67+CL67+CM67)/40+SUM(BB67+BC67+BI67+BJ67)/60</f>
        <v/>
      </c>
      <c r="CR67" s="38">
        <f>SUM(Z67+AA67)/44</f>
        <v/>
      </c>
      <c r="CS67" s="38">
        <f>SUM(T67)/65+SUM(AC67+AD67)/40+SUM(AT67+AU67)/54</f>
        <v/>
      </c>
      <c r="CT67" s="38">
        <f>SUM(BY67+CN67)/45</f>
        <v/>
      </c>
      <c r="CU67" s="83">
        <f>SUM(U67)/75+SUM(CA67)/60</f>
        <v/>
      </c>
      <c r="CV67" s="157">
        <f>CV66+B67-L67</f>
        <v/>
      </c>
      <c r="CW67" s="155">
        <f>CW66+C67-M67</f>
        <v/>
      </c>
      <c r="CX67" s="155">
        <f>CX66+D67-N67</f>
        <v/>
      </c>
      <c r="CY67" s="155">
        <f>CY66+E67-O67</f>
        <v/>
      </c>
      <c r="CZ67" s="155">
        <f>CZ66+F67-P67</f>
        <v/>
      </c>
      <c r="DA67" s="155">
        <f>DA66+G67-Q67</f>
        <v/>
      </c>
      <c r="DB67" s="155">
        <f>DB66+H67-R67</f>
        <v/>
      </c>
      <c r="DC67" s="155">
        <f>DC66+I67-S67</f>
        <v/>
      </c>
      <c r="DD67" s="155">
        <f>DD66+J67-T67</f>
        <v/>
      </c>
      <c r="DE67" s="156" t="n"/>
    </row>
    <row r="68" ht="20.25" customHeight="1">
      <c r="A68" s="6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65" t="n"/>
      <c r="L68" s="63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52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52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62" t="n"/>
      <c r="BE68" s="62" t="n"/>
      <c r="BF68" s="62" t="n"/>
      <c r="BG68" s="62" t="n"/>
      <c r="BH68" s="62" t="n"/>
      <c r="BI68" s="62" t="n"/>
      <c r="BJ68" s="62" t="n"/>
      <c r="BK68" s="66" t="n"/>
      <c r="BL68" s="66" t="n"/>
      <c r="BM68" s="66" t="n"/>
      <c r="BN68" s="66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52" t="n"/>
      <c r="BZ68" s="153" t="n"/>
      <c r="CA68" s="153" t="n"/>
      <c r="CB68" s="66" t="n"/>
      <c r="CC68" s="154" t="n"/>
      <c r="CD68" s="66" t="n"/>
      <c r="CE68" s="66" t="n"/>
      <c r="CF68" s="69" t="n"/>
      <c r="CG68" s="69" t="n"/>
      <c r="CH68" s="69" t="n"/>
      <c r="CI68" s="69" t="n"/>
      <c r="CJ68" s="69" t="n"/>
      <c r="CK68" s="69" t="n"/>
      <c r="CL68" s="69" t="n"/>
      <c r="CM68" s="17" t="n"/>
      <c r="CN68" s="17" t="n"/>
      <c r="CO68" s="38">
        <f>SUM(L68+M68+N68+BK68)/65+SUM(V68+W68)/44+SUM(AE68+AF68+AG68+AH68+AI68+BO68+BP68+BQ68+CF68+CG68)/45+SUM(AV68+AW68+BD68+BE68)/60</f>
        <v/>
      </c>
      <c r="CP68" s="38">
        <f>SUM(O68+P68+Q68+BL68+BM68+CB68+CC68)/65+SUM(X68+Y68)/44+SUM(AJ68+AK68+AM68+AN68+AO68+AP68+AQ68+BR68+BS68+BT68+BU68+BV68+CH68+CI68+CJ68+CK68)/45+SUM(AX68+AY68+AZ68+BA68+BF68+BG68+BH68)/60+SUM(AL68+BZ68)/50</f>
        <v/>
      </c>
      <c r="CQ68" s="38">
        <f>SUM(R68+S68+BN68+CD68+CE68)/65+SUM(AB68)/36+SUM(AR68+AS68+BW68+BX68+CL68+CM68)/40+SUM(BB68+BC68+BI68+BJ68)/60</f>
        <v/>
      </c>
      <c r="CR68" s="38">
        <f>SUM(Z68+AA68)/44</f>
        <v/>
      </c>
      <c r="CS68" s="38">
        <f>SUM(T68)/65+SUM(AC68+AD68)/40+SUM(AT68+AU68)/54</f>
        <v/>
      </c>
      <c r="CT68" s="38">
        <f>SUM(BY68+CN68)/45</f>
        <v/>
      </c>
      <c r="CU68" s="83">
        <f>SUM(U68)/75+SUM(CA68)/60</f>
        <v/>
      </c>
      <c r="CV68" s="155">
        <f>#REF!+B68-L68</f>
        <v/>
      </c>
      <c r="CW68" s="155">
        <f>CW67+C68-M68</f>
        <v/>
      </c>
      <c r="CX68" s="155">
        <f>CX67+D68-N68</f>
        <v/>
      </c>
      <c r="CY68" s="155">
        <f>CY67+E68-O68</f>
        <v/>
      </c>
      <c r="CZ68" s="155">
        <f>CZ67+F68-P68</f>
        <v/>
      </c>
      <c r="DA68" s="155">
        <f>DA67+G68-Q68</f>
        <v/>
      </c>
      <c r="DB68" s="155">
        <f>DB67+H68-R68</f>
        <v/>
      </c>
      <c r="DC68" s="155">
        <f>DC67+I68-S68</f>
        <v/>
      </c>
      <c r="DD68" s="155">
        <f>DD67+J68-T68</f>
        <v/>
      </c>
      <c r="DE68" s="156" t="n"/>
    </row>
    <row r="69" ht="20.25" customHeight="1">
      <c r="A69" s="6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65" t="n"/>
      <c r="L69" s="63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52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52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50" t="n"/>
      <c r="AW69" s="50" t="n"/>
      <c r="AX69" s="50" t="n"/>
      <c r="AY69" s="50" t="n"/>
      <c r="AZ69" s="50" t="n"/>
      <c r="BA69" s="50" t="n"/>
      <c r="BB69" s="50" t="n"/>
      <c r="BC69" s="50" t="n"/>
      <c r="BD69" s="62" t="n"/>
      <c r="BE69" s="62" t="n"/>
      <c r="BF69" s="62" t="n"/>
      <c r="BG69" s="62" t="n"/>
      <c r="BH69" s="62" t="n"/>
      <c r="BI69" s="62" t="n"/>
      <c r="BJ69" s="62" t="n"/>
      <c r="BK69" s="66" t="n"/>
      <c r="BL69" s="66" t="n"/>
      <c r="BM69" s="66" t="n"/>
      <c r="BN69" s="66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52" t="n"/>
      <c r="BZ69" s="153" t="n"/>
      <c r="CA69" s="153" t="n"/>
      <c r="CB69" s="66" t="n"/>
      <c r="CC69" s="154" t="n"/>
      <c r="CD69" s="66" t="n"/>
      <c r="CE69" s="66" t="n"/>
      <c r="CF69" s="69" t="n"/>
      <c r="CG69" s="69" t="n"/>
      <c r="CH69" s="69" t="n"/>
      <c r="CI69" s="69" t="n"/>
      <c r="CJ69" s="69" t="n"/>
      <c r="CK69" s="69" t="n"/>
      <c r="CL69" s="69" t="n"/>
      <c r="CM69" s="17" t="n"/>
      <c r="CN69" s="17" t="n"/>
      <c r="CO69" s="38">
        <f>SUM(L69+M69+N69+BK69)/65+SUM(V69+W69)/44+SUM(AE69+AF69+AG69+AH69+AI69+BO69+BP69+BQ69+CF69+CG69)/45+SUM(AV69+AW69+BD69+BE69)/60</f>
        <v/>
      </c>
      <c r="CP69" s="38">
        <f>SUM(O69+P69+Q69+BL69+BM69+CB69+CC69)/65+SUM(X69+Y69)/44+SUM(AJ69+AK69+AM69+AN69+AO69+AP69+AQ69+BR69+BS69+BT69+BU69+BV69+CH69+CI69+CJ69+CK69)/45+SUM(AX69+AY69+AZ69+BA69+BF69+BG69+BH69)/60+SUM(AL69+BZ69)/50</f>
        <v/>
      </c>
      <c r="CQ69" s="38">
        <f>SUM(R69+S69+BN69+CD69+CE69)/65+SUM(AB69)/36+SUM(AR69+AS69+BW69+BX69+CL69+CM69)/40+SUM(BB69+BC69+BI69+BJ69)/60</f>
        <v/>
      </c>
      <c r="CR69" s="38">
        <f>SUM(Z69+AA69)/44</f>
        <v/>
      </c>
      <c r="CS69" s="38">
        <f>SUM(T69)/65+SUM(AC69+AD69)/40+SUM(AT69+AU69)/54</f>
        <v/>
      </c>
      <c r="CT69" s="38">
        <f>SUM(BY69+CN69)/45</f>
        <v/>
      </c>
      <c r="CU69" s="83">
        <f>SUM(U69)/75+SUM(CA69)/60</f>
        <v/>
      </c>
      <c r="CV69" s="155">
        <f>#REF!+B69-L69</f>
        <v/>
      </c>
      <c r="CW69" s="155">
        <f>CW68+C69-M69</f>
        <v/>
      </c>
      <c r="CX69" s="155">
        <f>CX68+D69-N69</f>
        <v/>
      </c>
      <c r="CY69" s="155">
        <f>CY68+E69-O69</f>
        <v/>
      </c>
      <c r="CZ69" s="155">
        <f>CZ68+F69-P69</f>
        <v/>
      </c>
      <c r="DA69" s="155">
        <f>DA68+G69-Q69</f>
        <v/>
      </c>
      <c r="DB69" s="155">
        <f>DB68+H69-R69</f>
        <v/>
      </c>
      <c r="DC69" s="155">
        <f>DC68+I69-S69</f>
        <v/>
      </c>
      <c r="DD69" s="155">
        <f>DD68+J69-T69</f>
        <v/>
      </c>
      <c r="DE69" s="156" t="n"/>
    </row>
    <row r="70" ht="20.25" customHeight="1">
      <c r="A70" s="6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65" t="n"/>
      <c r="L70" s="63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52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52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50" t="n"/>
      <c r="AW70" s="50" t="n"/>
      <c r="AX70" s="50" t="n"/>
      <c r="AY70" s="50" t="n"/>
      <c r="AZ70" s="50" t="n"/>
      <c r="BA70" s="50" t="n"/>
      <c r="BB70" s="50" t="n"/>
      <c r="BC70" s="50" t="n"/>
      <c r="BD70" s="62" t="n"/>
      <c r="BE70" s="62" t="n"/>
      <c r="BF70" s="62" t="n"/>
      <c r="BG70" s="62" t="n"/>
      <c r="BH70" s="62" t="n"/>
      <c r="BI70" s="62" t="n"/>
      <c r="BJ70" s="62" t="n"/>
      <c r="BK70" s="66" t="n"/>
      <c r="BL70" s="66" t="n"/>
      <c r="BM70" s="66" t="n"/>
      <c r="BN70" s="66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52" t="n"/>
      <c r="BZ70" s="153" t="n"/>
      <c r="CA70" s="153" t="n"/>
      <c r="CB70" s="66" t="n"/>
      <c r="CC70" s="154" t="n"/>
      <c r="CD70" s="66" t="n"/>
      <c r="CE70" s="66" t="n"/>
      <c r="CF70" s="69" t="n"/>
      <c r="CG70" s="69" t="n"/>
      <c r="CH70" s="69" t="n"/>
      <c r="CI70" s="69" t="n"/>
      <c r="CJ70" s="69" t="n"/>
      <c r="CK70" s="69" t="n"/>
      <c r="CL70" s="69" t="n"/>
      <c r="CM70" s="17" t="n"/>
      <c r="CN70" s="17" t="n"/>
      <c r="CO70" s="38">
        <f>SUM(L70+M70+N70+BK70)/65+SUM(V70+W70)/44+SUM(AE70+AF70+AG70+AH70+AI70+BO70+BP70+BQ70+CF70+CG70)/45+SUM(AV70+AW70+BD70+BE70)/60</f>
        <v/>
      </c>
      <c r="CP70" s="38">
        <f>SUM(O70+P70+Q70+BL70+BM70+CB70+CC70)/65+SUM(X70+Y70)/44+SUM(AJ70+AK70+AM70+AN70+AO70+AP70+AQ70+BR70+BS70+BT70+BU70+BV70+CH70+CI70+CJ70+CK70)/45+SUM(AX70+AY70+AZ70+BA70+BF70+BG70+BH70)/60+SUM(AL70+BZ70)/50</f>
        <v/>
      </c>
      <c r="CQ70" s="38">
        <f>SUM(R70+S70+BN70+CD70+CE70)/65+SUM(AB70)/36+SUM(AR70+AS70+BW70+BX70+CL70+CM70)/40+SUM(BB70+BC70+BI70+BJ70)/60</f>
        <v/>
      </c>
      <c r="CR70" s="38">
        <f>SUM(Z70+AA70)/44</f>
        <v/>
      </c>
      <c r="CS70" s="38">
        <f>SUM(T70)/65+SUM(AC70+AD70)/40+SUM(AT70+AU70)/54</f>
        <v/>
      </c>
      <c r="CT70" s="38">
        <f>SUM(BY70+CN70)/45</f>
        <v/>
      </c>
      <c r="CU70" s="83">
        <f>SUM(U70)/75+SUM(CA70)/60</f>
        <v/>
      </c>
      <c r="CV70" s="155">
        <f>#REF!+B70-L70</f>
        <v/>
      </c>
      <c r="CW70" s="155">
        <f>CW69+C70-M70</f>
        <v/>
      </c>
      <c r="CX70" s="155">
        <f>CX69+D70-N70</f>
        <v/>
      </c>
      <c r="CY70" s="155">
        <f>CY69+E70-O70</f>
        <v/>
      </c>
      <c r="CZ70" s="155">
        <f>CZ69+F70-P70</f>
        <v/>
      </c>
      <c r="DA70" s="155">
        <f>DA69+G70-Q70</f>
        <v/>
      </c>
      <c r="DB70" s="155">
        <f>DB69+H70-R70</f>
        <v/>
      </c>
      <c r="DC70" s="155">
        <f>DC69+I70-S70</f>
        <v/>
      </c>
      <c r="DD70" s="155">
        <f>DD69+J70-T70</f>
        <v/>
      </c>
      <c r="DE70" s="156" t="n"/>
    </row>
    <row r="71" ht="20.25" customHeight="1">
      <c r="A71" s="6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65" t="n"/>
      <c r="L71" s="63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52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52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50" t="n"/>
      <c r="AW71" s="50" t="n"/>
      <c r="AX71" s="50" t="n"/>
      <c r="AY71" s="50" t="n"/>
      <c r="AZ71" s="50" t="n"/>
      <c r="BA71" s="50" t="n"/>
      <c r="BB71" s="50" t="n"/>
      <c r="BC71" s="50" t="n"/>
      <c r="BD71" s="62" t="n"/>
      <c r="BE71" s="62" t="n"/>
      <c r="BF71" s="62" t="n"/>
      <c r="BG71" s="62" t="n"/>
      <c r="BH71" s="62" t="n"/>
      <c r="BI71" s="62" t="n"/>
      <c r="BJ71" s="62" t="n"/>
      <c r="BK71" s="66" t="n"/>
      <c r="BL71" s="66" t="n"/>
      <c r="BM71" s="66" t="n"/>
      <c r="BN71" s="66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52" t="n"/>
      <c r="BZ71" s="153" t="n"/>
      <c r="CA71" s="153" t="n"/>
      <c r="CB71" s="66" t="n"/>
      <c r="CC71" s="154" t="n"/>
      <c r="CD71" s="66" t="n"/>
      <c r="CE71" s="66" t="n"/>
      <c r="CF71" s="69" t="n"/>
      <c r="CG71" s="69" t="n"/>
      <c r="CH71" s="69" t="n"/>
      <c r="CI71" s="69" t="n"/>
      <c r="CJ71" s="69" t="n"/>
      <c r="CK71" s="69" t="n"/>
      <c r="CL71" s="69" t="n"/>
      <c r="CM71" s="17" t="n"/>
      <c r="CN71" s="17" t="n"/>
      <c r="CO71" s="38">
        <f>SUM(L71+M71+N71+BK71)/65+SUM(V71+W71)/44+SUM(AE71+AF71+AG71+AH71+AI71+BO71+BP71+BQ71+CF71+CG71)/45+SUM(AV71+AW71+BD71+BE71)/60</f>
        <v/>
      </c>
      <c r="CP71" s="38">
        <f>SUM(O71+P71+Q71+BL71+BM71+CB71+CC71)/65+SUM(X71+Y71)/44+SUM(AJ71+AK71+AM71+AN71+AO71+AP71+AQ71+BR71+BS71+BT71+BU71+BV71+CH71+CI71+CJ71+CK71)/45+SUM(AX71+AY71+AZ71+BA71+BF71+BG71+BH71)/60+SUM(AL71+BZ71)/50</f>
        <v/>
      </c>
      <c r="CQ71" s="38">
        <f>SUM(R71+S71+BN71+CD71+CE71)/65+SUM(AB71)/36+SUM(AR71+AS71+BW71+BX71+CL71+CM71)/40+SUM(BB71+BC71+BI71+BJ71)/60</f>
        <v/>
      </c>
      <c r="CR71" s="38">
        <f>SUM(Z71+AA71)/44</f>
        <v/>
      </c>
      <c r="CS71" s="38">
        <f>SUM(T71)/65+SUM(AC71+AD71)/40+SUM(AT71+AU71)/54</f>
        <v/>
      </c>
      <c r="CT71" s="38">
        <f>SUM(BY71+CN71)/45</f>
        <v/>
      </c>
      <c r="CU71" s="83">
        <f>SUM(U71)/75+SUM(CA71)/60</f>
        <v/>
      </c>
      <c r="CV71" s="155">
        <f>#REF!+B71-L71</f>
        <v/>
      </c>
      <c r="CW71" s="155">
        <f>CW70+C71-M71</f>
        <v/>
      </c>
      <c r="CX71" s="155">
        <f>CX70+D71-N71</f>
        <v/>
      </c>
      <c r="CY71" s="155">
        <f>CY70+E71-O71</f>
        <v/>
      </c>
      <c r="CZ71" s="155">
        <f>CZ70+F71-P71</f>
        <v/>
      </c>
      <c r="DA71" s="155">
        <f>DA70+G71-Q71</f>
        <v/>
      </c>
      <c r="DB71" s="155">
        <f>DB70+H71-R71</f>
        <v/>
      </c>
      <c r="DC71" s="155">
        <f>DC70+I71-S71</f>
        <v/>
      </c>
      <c r="DD71" s="155">
        <f>DD70+J71-T71</f>
        <v/>
      </c>
      <c r="DE71" s="156" t="n"/>
    </row>
    <row r="72" ht="20.25" customHeight="1">
      <c r="A72" s="6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65" t="n"/>
      <c r="L72" s="63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52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52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50" t="n"/>
      <c r="AW72" s="50" t="n"/>
      <c r="AX72" s="50" t="n"/>
      <c r="AY72" s="50" t="n"/>
      <c r="AZ72" s="50" t="n"/>
      <c r="BA72" s="50" t="n"/>
      <c r="BB72" s="50" t="n"/>
      <c r="BC72" s="50" t="n"/>
      <c r="BD72" s="62" t="n"/>
      <c r="BE72" s="62" t="n"/>
      <c r="BF72" s="62" t="n"/>
      <c r="BG72" s="62" t="n"/>
      <c r="BH72" s="62" t="n"/>
      <c r="BI72" s="62" t="n"/>
      <c r="BJ72" s="62" t="n"/>
      <c r="BK72" s="66" t="n"/>
      <c r="BL72" s="66" t="n"/>
      <c r="BM72" s="66" t="n"/>
      <c r="BN72" s="66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52" t="n"/>
      <c r="BZ72" s="153" t="n"/>
      <c r="CA72" s="153" t="n"/>
      <c r="CB72" s="66" t="n"/>
      <c r="CC72" s="154" t="n"/>
      <c r="CD72" s="66" t="n"/>
      <c r="CE72" s="66" t="n"/>
      <c r="CF72" s="69" t="n"/>
      <c r="CG72" s="69" t="n"/>
      <c r="CH72" s="69" t="n"/>
      <c r="CI72" s="69" t="n"/>
      <c r="CJ72" s="69" t="n"/>
      <c r="CK72" s="69" t="n"/>
      <c r="CL72" s="69" t="n"/>
      <c r="CM72" s="17" t="n"/>
      <c r="CN72" s="17" t="n"/>
      <c r="CO72" s="38">
        <f>SUM(L72+M72+N72+BK72)/65+SUM(V72+W72)/44+SUM(AE72+AF72+AG72+AH72+AI72+BO72+BP72+BQ72+CF72+CG72)/45+SUM(AV72+AW72+BD72+BE72)/60</f>
        <v/>
      </c>
      <c r="CP72" s="38">
        <f>SUM(O72+P72+Q72+BL72+BM72+CB72+CC72)/65+SUM(X72+Y72)/44+SUM(AJ72+AK72+AM72+AN72+AO72+AP72+AQ72+BR72+BS72+BT72+BU72+BV72+CH72+CI72+CJ72+CK72)/45+SUM(AX72+AY72+AZ72+BA72+BF72+BG72+BH72)/60+SUM(AL72+BZ72)/50</f>
        <v/>
      </c>
      <c r="CQ72" s="38">
        <f>SUM(R72+S72+BN72+CD72+CE72)/65+SUM(AB72)/36+SUM(AR72+AS72+BW72+BX72+CL72+CM72)/40+SUM(BB72+BC72+BI72+BJ72)/60</f>
        <v/>
      </c>
      <c r="CR72" s="38">
        <f>SUM(Z72+AA72)/44</f>
        <v/>
      </c>
      <c r="CS72" s="38">
        <f>SUM(T72)/65+SUM(AC72+AD72)/40+SUM(AT72+AU72)/54</f>
        <v/>
      </c>
      <c r="CT72" s="38">
        <f>SUM(BY72+CN72)/45</f>
        <v/>
      </c>
      <c r="CU72" s="83">
        <f>SUM(U72)/75+SUM(CA72)/60</f>
        <v/>
      </c>
      <c r="CV72" s="155">
        <f>#REF!+B72-L72</f>
        <v/>
      </c>
      <c r="CW72" s="155">
        <f>CW71+C72-M72</f>
        <v/>
      </c>
      <c r="CX72" s="155">
        <f>CX71+D72-N72</f>
        <v/>
      </c>
      <c r="CY72" s="155">
        <f>CY71+E72-O72</f>
        <v/>
      </c>
      <c r="CZ72" s="155">
        <f>CZ71+F72-P72</f>
        <v/>
      </c>
      <c r="DA72" s="155">
        <f>DA71+G72-Q72</f>
        <v/>
      </c>
      <c r="DB72" s="155">
        <f>DB71+H72-R72</f>
        <v/>
      </c>
      <c r="DC72" s="155">
        <f>DC71+I72-S72</f>
        <v/>
      </c>
      <c r="DD72" s="155">
        <f>DD71+J72-T72</f>
        <v/>
      </c>
      <c r="DE72" s="156" t="n"/>
    </row>
    <row r="73" ht="20.25" customHeight="1">
      <c r="A73" s="6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65" t="n"/>
      <c r="L73" s="63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52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52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50" t="n"/>
      <c r="AW73" s="50" t="n"/>
      <c r="AX73" s="50" t="n"/>
      <c r="AY73" s="50" t="n"/>
      <c r="AZ73" s="50" t="n"/>
      <c r="BA73" s="50" t="n"/>
      <c r="BB73" s="50" t="n"/>
      <c r="BC73" s="50" t="n"/>
      <c r="BD73" s="62" t="n"/>
      <c r="BE73" s="62" t="n"/>
      <c r="BF73" s="62" t="n"/>
      <c r="BG73" s="62" t="n"/>
      <c r="BH73" s="62" t="n"/>
      <c r="BI73" s="62" t="n"/>
      <c r="BJ73" s="62" t="n"/>
      <c r="BK73" s="66" t="n"/>
      <c r="BL73" s="66" t="n"/>
      <c r="BM73" s="66" t="n"/>
      <c r="BN73" s="66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52" t="n"/>
      <c r="BZ73" s="153" t="n"/>
      <c r="CA73" s="153" t="n"/>
      <c r="CB73" s="66" t="n"/>
      <c r="CC73" s="154" t="n"/>
      <c r="CD73" s="66" t="n"/>
      <c r="CE73" s="66" t="n"/>
      <c r="CF73" s="69" t="n"/>
      <c r="CG73" s="69" t="n"/>
      <c r="CH73" s="69" t="n"/>
      <c r="CI73" s="69" t="n"/>
      <c r="CJ73" s="69" t="n"/>
      <c r="CK73" s="69" t="n"/>
      <c r="CL73" s="69" t="n"/>
      <c r="CM73" s="17" t="n"/>
      <c r="CN73" s="17" t="n"/>
      <c r="CO73" s="38">
        <f>SUM(L73+M73+N73+BK73)/65+SUM(V73+W73)/44+SUM(AE73+AF73+AG73+AH73+AI73+BO73+BP73+BQ73+CF73+CG73)/45+SUM(AV73+AW73+BD73+BE73)/60</f>
        <v/>
      </c>
      <c r="CP73" s="38">
        <f>SUM(O73+P73+Q73+BL73+BM73+CB73+CC73)/65+SUM(X73+Y73)/44+SUM(AJ73+AK73+AM73+AN73+AO73+AP73+AQ73+BR73+BS73+BT73+BU73+BV73+CH73+CI73+CJ73+CK73)/45+SUM(AX73+AY73+AZ73+BA73+BF73+BG73+BH73)/60+SUM(AL73+BZ73)/50</f>
        <v/>
      </c>
      <c r="CQ73" s="38">
        <f>SUM(R73+S73+BN73+CD73+CE73)/65+SUM(AB73)/36+SUM(AR73+AS73+BW73+BX73+CL73+CM73)/40+SUM(BB73+BC73+BI73+BJ73)/60</f>
        <v/>
      </c>
      <c r="CR73" s="38">
        <f>SUM(Z73+AA73)/44</f>
        <v/>
      </c>
      <c r="CS73" s="38">
        <f>SUM(T73)/65+SUM(AC73+AD73)/40+SUM(AT73+AU73)/54</f>
        <v/>
      </c>
      <c r="CT73" s="38">
        <f>SUM(BY73+CN73)/45</f>
        <v/>
      </c>
      <c r="CU73" s="83">
        <f>SUM(U73)/75+SUM(CA73)/60</f>
        <v/>
      </c>
      <c r="CV73" s="155">
        <f>CV70+B73-L73</f>
        <v/>
      </c>
      <c r="CW73" s="155">
        <f>CW72+C73-M73</f>
        <v/>
      </c>
      <c r="CX73" s="155">
        <f>CX72+D73-N73</f>
        <v/>
      </c>
      <c r="CY73" s="155">
        <f>CY72+E73-O73</f>
        <v/>
      </c>
      <c r="CZ73" s="155">
        <f>CZ72+F73-P73</f>
        <v/>
      </c>
      <c r="DA73" s="155">
        <f>DA72+G73-Q73</f>
        <v/>
      </c>
      <c r="DB73" s="155">
        <f>DB72+H73-R73</f>
        <v/>
      </c>
      <c r="DC73" s="155">
        <f>DC72+I73-S73</f>
        <v/>
      </c>
      <c r="DD73" s="155">
        <f>DD72+J73-T73</f>
        <v/>
      </c>
      <c r="DE73" s="156" t="n"/>
    </row>
    <row r="74" ht="20.25" customHeight="1">
      <c r="A74" s="61" t="n"/>
      <c r="B74" s="152" t="n"/>
      <c r="C74" s="152" t="n"/>
      <c r="D74" s="152" t="n"/>
      <c r="E74" s="152" t="n"/>
      <c r="F74" s="152" t="n"/>
      <c r="G74" s="152" t="n"/>
      <c r="H74" s="152" t="n"/>
      <c r="I74" s="152" t="n"/>
      <c r="J74" s="152" t="n"/>
      <c r="K74" s="65" t="n"/>
      <c r="L74" s="63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52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52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50" t="n"/>
      <c r="AW74" s="50" t="n"/>
      <c r="AX74" s="50" t="n"/>
      <c r="AY74" s="50" t="n"/>
      <c r="AZ74" s="50" t="n"/>
      <c r="BA74" s="50" t="n"/>
      <c r="BB74" s="50" t="n"/>
      <c r="BC74" s="50" t="n"/>
      <c r="BD74" s="62" t="n"/>
      <c r="BE74" s="62" t="n"/>
      <c r="BF74" s="62" t="n"/>
      <c r="BG74" s="62" t="n"/>
      <c r="BH74" s="62" t="n"/>
      <c r="BI74" s="62" t="n"/>
      <c r="BJ74" s="62" t="n"/>
      <c r="BK74" s="66" t="n"/>
      <c r="BL74" s="66" t="n"/>
      <c r="BM74" s="66" t="n"/>
      <c r="BN74" s="66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52" t="n"/>
      <c r="BZ74" s="153" t="n"/>
      <c r="CA74" s="153" t="n"/>
      <c r="CB74" s="66" t="n"/>
      <c r="CC74" s="154" t="n"/>
      <c r="CD74" s="66" t="n"/>
      <c r="CE74" s="66" t="n"/>
      <c r="CF74" s="69" t="n"/>
      <c r="CG74" s="69" t="n"/>
      <c r="CH74" s="69" t="n"/>
      <c r="CI74" s="69" t="n"/>
      <c r="CJ74" s="69" t="n"/>
      <c r="CK74" s="69" t="n"/>
      <c r="CL74" s="69" t="n"/>
      <c r="CM74" s="17" t="n"/>
      <c r="CN74" s="17" t="n"/>
      <c r="CO74" s="38">
        <f>SUM(L74+M74+N74+BK74)/65+SUM(V74+W74)/44+SUM(AE74+AF74+AG74+AH74+AI74+BO74+BP74+BQ74+CF74+CG74)/45+SUM(AV74+AW74+BD74+BE74)/60</f>
        <v/>
      </c>
      <c r="CP74" s="38">
        <f>SUM(O74+P74+Q74+BL74+BM74+CB74+CC74)/65+SUM(X74+Y74)/44+SUM(AJ74+AK74+AM74+AN74+AO74+AP74+AQ74+BR74+BS74+BT74+BU74+BV74+CH74+CI74+CJ74+CK74)/45+SUM(AX74+AY74+AZ74+BA74+BF74+BG74+BH74)/60+SUM(AL74+BZ74)/50</f>
        <v/>
      </c>
      <c r="CQ74" s="38">
        <f>SUM(R74+S74+BN74+CD74+CE74)/65+SUM(AB74)/36+SUM(AR74+AS74+BW74+BX74+CL74+CM74)/40+SUM(BB74+BC74+BI74+BJ74)/60</f>
        <v/>
      </c>
      <c r="CR74" s="38">
        <f>SUM(Z74+AA74)/44</f>
        <v/>
      </c>
      <c r="CS74" s="38">
        <f>SUM(T74)/65+SUM(AC74+AD74)/40+SUM(AT74+AU74)/54</f>
        <v/>
      </c>
      <c r="CT74" s="38">
        <f>SUM(BY74+CN74)/45</f>
        <v/>
      </c>
      <c r="CU74" s="83">
        <f>SUM(U74)/75+SUM(CA74)/60</f>
        <v/>
      </c>
      <c r="CV74" s="157">
        <f>CV73+B74-L74</f>
        <v/>
      </c>
      <c r="CW74" s="155">
        <f>CW73+C74-M74</f>
        <v/>
      </c>
      <c r="CX74" s="155">
        <f>CX73+D74-N74</f>
        <v/>
      </c>
      <c r="CY74" s="155">
        <f>CY73+E74-O74</f>
        <v/>
      </c>
      <c r="CZ74" s="155">
        <f>CZ73+F74-P74</f>
        <v/>
      </c>
      <c r="DA74" s="155">
        <f>DA73+G74-Q74</f>
        <v/>
      </c>
      <c r="DB74" s="155">
        <f>DB73+H74-R74</f>
        <v/>
      </c>
      <c r="DC74" s="155">
        <f>DC73+I74-S74</f>
        <v/>
      </c>
      <c r="DD74" s="155">
        <f>DD73+J74-T74</f>
        <v/>
      </c>
      <c r="DE74" s="156" t="n"/>
    </row>
    <row r="75" ht="20.25" customHeight="1">
      <c r="A75" s="6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65" t="n"/>
      <c r="L75" s="63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52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52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50" t="n"/>
      <c r="AW75" s="50" t="n"/>
      <c r="AX75" s="50" t="n"/>
      <c r="AY75" s="50" t="n"/>
      <c r="AZ75" s="50" t="n"/>
      <c r="BA75" s="50" t="n"/>
      <c r="BB75" s="50" t="n"/>
      <c r="BC75" s="50" t="n"/>
      <c r="BD75" s="62" t="n"/>
      <c r="BE75" s="62" t="n"/>
      <c r="BF75" s="62" t="n"/>
      <c r="BG75" s="62" t="n"/>
      <c r="BH75" s="62" t="n"/>
      <c r="BI75" s="62" t="n"/>
      <c r="BJ75" s="62" t="n"/>
      <c r="BK75" s="66" t="n"/>
      <c r="BL75" s="66" t="n"/>
      <c r="BM75" s="66" t="n"/>
      <c r="BN75" s="66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52" t="n"/>
      <c r="BZ75" s="153" t="n"/>
      <c r="CA75" s="153" t="n"/>
      <c r="CB75" s="66" t="n"/>
      <c r="CC75" s="154" t="n"/>
      <c r="CD75" s="66" t="n"/>
      <c r="CE75" s="66" t="n"/>
      <c r="CF75" s="69" t="n"/>
      <c r="CG75" s="69" t="n"/>
      <c r="CH75" s="69" t="n"/>
      <c r="CI75" s="69" t="n"/>
      <c r="CJ75" s="69" t="n"/>
      <c r="CK75" s="69" t="n"/>
      <c r="CL75" s="69" t="n"/>
      <c r="CM75" s="17" t="n"/>
      <c r="CN75" s="17" t="n"/>
      <c r="CO75" s="38">
        <f>SUM(L75+M75+N75+BK75)/65+SUM(V75+W75)/44+SUM(AE75+AF75+AG75+AH75+AI75+BO75+BP75+BQ75+CF75+CG75)/45+SUM(AV75+AW75+BD75+BE75)/60</f>
        <v/>
      </c>
      <c r="CP75" s="38">
        <f>SUM(O75+P75+Q75+BL75+BM75+CB75+CC75)/65+SUM(X75+Y75)/44+SUM(AJ75+AK75+AM75+AN75+AO75+AP75+AQ75+BR75+BS75+BT75+BU75+BV75+CH75+CI75+CJ75+CK75)/45+SUM(AX75+AY75+AZ75+BA75+BF75+BG75+BH75)/60+SUM(AL75+BZ75)/50</f>
        <v/>
      </c>
      <c r="CQ75" s="38">
        <f>SUM(R75+S75+BN75+CD75+CE75)/65+SUM(AB75)/36+SUM(AR75+AS75+BW75+BX75+CL75+CM75)/40+SUM(BB75+BC75+BI75+BJ75)/60</f>
        <v/>
      </c>
      <c r="CR75" s="38">
        <f>SUM(Z75+AA75)/44</f>
        <v/>
      </c>
      <c r="CS75" s="38">
        <f>SUM(T75)/65+SUM(AC75+AD75)/40+SUM(AT75+AU75)/54</f>
        <v/>
      </c>
      <c r="CT75" s="38">
        <f>SUM(BY75+CN75)/45</f>
        <v/>
      </c>
      <c r="CU75" s="83">
        <f>SUM(U75)/75+SUM(CA75)/60</f>
        <v/>
      </c>
      <c r="CV75" s="155">
        <f>#REF!+B75-L75</f>
        <v/>
      </c>
      <c r="CW75" s="155">
        <f>CW74+C75-M75</f>
        <v/>
      </c>
      <c r="CX75" s="155">
        <f>CX74+D75-N75</f>
        <v/>
      </c>
      <c r="CY75" s="155">
        <f>CY74+E75-O75</f>
        <v/>
      </c>
      <c r="CZ75" s="155">
        <f>CZ74+F75-P75</f>
        <v/>
      </c>
      <c r="DA75" s="155">
        <f>DA74+G75-Q75</f>
        <v/>
      </c>
      <c r="DB75" s="155">
        <f>DB74+H75-R75</f>
        <v/>
      </c>
      <c r="DC75" s="155">
        <f>DC74+I75-S75</f>
        <v/>
      </c>
      <c r="DD75" s="155">
        <f>DD74+J75-T75</f>
        <v/>
      </c>
      <c r="DE75" s="156" t="n"/>
    </row>
    <row r="76" ht="20.25" customHeight="1">
      <c r="A76" s="6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65" t="n"/>
      <c r="L76" s="63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52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52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50" t="n"/>
      <c r="AW76" s="50" t="n"/>
      <c r="AX76" s="50" t="n"/>
      <c r="AY76" s="50" t="n"/>
      <c r="AZ76" s="50" t="n"/>
      <c r="BA76" s="50" t="n"/>
      <c r="BB76" s="50" t="n"/>
      <c r="BC76" s="50" t="n"/>
      <c r="BD76" s="62" t="n"/>
      <c r="BE76" s="62" t="n"/>
      <c r="BF76" s="62" t="n"/>
      <c r="BG76" s="62" t="n"/>
      <c r="BH76" s="62" t="n"/>
      <c r="BI76" s="62" t="n"/>
      <c r="BJ76" s="62" t="n"/>
      <c r="BK76" s="66" t="n"/>
      <c r="BL76" s="66" t="n"/>
      <c r="BM76" s="66" t="n"/>
      <c r="BN76" s="66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52" t="n"/>
      <c r="BZ76" s="153" t="n"/>
      <c r="CA76" s="153" t="n"/>
      <c r="CB76" s="66" t="n"/>
      <c r="CC76" s="154" t="n"/>
      <c r="CD76" s="66" t="n"/>
      <c r="CE76" s="66" t="n"/>
      <c r="CF76" s="69" t="n"/>
      <c r="CG76" s="69" t="n"/>
      <c r="CH76" s="69" t="n"/>
      <c r="CI76" s="69" t="n"/>
      <c r="CJ76" s="69" t="n"/>
      <c r="CK76" s="69" t="n"/>
      <c r="CL76" s="69" t="n"/>
      <c r="CM76" s="17" t="n"/>
      <c r="CN76" s="17" t="n"/>
      <c r="CO76" s="38">
        <f>SUM(L76+M76+N76+BK76)/65+SUM(V76+W76)/44+SUM(AE76+AF76+AG76+AH76+AI76+BO76+BP76+BQ76+CF76+CG76)/45+SUM(AV76+AW76+BD76+BE76)/60</f>
        <v/>
      </c>
      <c r="CP76" s="38">
        <f>SUM(O76+P76+Q76+BL76+BM76+CB76+CC76)/65+SUM(X76+Y76)/44+SUM(AJ76+AK76+AM76+AN76+AO76+AP76+AQ76+BR76+BS76+BT76+BU76+BV76+CH76+CI76+CJ76+CK76)/45+SUM(AX76+AY76+AZ76+BA76+BF76+BG76+BH76)/60+SUM(AL76+BZ76)/50</f>
        <v/>
      </c>
      <c r="CQ76" s="38">
        <f>SUM(R76+S76+BN76+CD76+CE76)/65+SUM(AB76)/36+SUM(AR76+AS76+BW76+BX76+CL76+CM76)/40+SUM(BB76+BC76+BI76+BJ76)/60</f>
        <v/>
      </c>
      <c r="CR76" s="38">
        <f>SUM(Z76+AA76)/44</f>
        <v/>
      </c>
      <c r="CS76" s="38">
        <f>SUM(T76)/65+SUM(AC76+AD76)/40+SUM(AT76+AU76)/54</f>
        <v/>
      </c>
      <c r="CT76" s="38">
        <f>SUM(BY76+CN76)/45</f>
        <v/>
      </c>
      <c r="CU76" s="83">
        <f>SUM(U76)/75+SUM(CA76)/60</f>
        <v/>
      </c>
      <c r="CV76" s="155">
        <f>#REF!+B76-L76</f>
        <v/>
      </c>
      <c r="CW76" s="155">
        <f>CW75+C76-M76</f>
        <v/>
      </c>
      <c r="CX76" s="155">
        <f>CX75+D76-N76</f>
        <v/>
      </c>
      <c r="CY76" s="155">
        <f>CY75+E76-O76</f>
        <v/>
      </c>
      <c r="CZ76" s="155">
        <f>CZ75+F76-P76</f>
        <v/>
      </c>
      <c r="DA76" s="155">
        <f>DA75+G76-Q76</f>
        <v/>
      </c>
      <c r="DB76" s="155">
        <f>DB75+H76-R76</f>
        <v/>
      </c>
      <c r="DC76" s="155">
        <f>DC75+I76-S76</f>
        <v/>
      </c>
      <c r="DD76" s="155">
        <f>DD75+J76-T76</f>
        <v/>
      </c>
      <c r="DE76" s="156" t="n"/>
    </row>
    <row r="77" ht="20.25" customHeight="1">
      <c r="A77" s="6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65" t="n"/>
      <c r="L77" s="63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52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52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50" t="n"/>
      <c r="AW77" s="50" t="n"/>
      <c r="AX77" s="50" t="n"/>
      <c r="AY77" s="50" t="n"/>
      <c r="AZ77" s="50" t="n"/>
      <c r="BA77" s="50" t="n"/>
      <c r="BB77" s="50" t="n"/>
      <c r="BC77" s="50" t="n"/>
      <c r="BD77" s="62" t="n"/>
      <c r="BE77" s="62" t="n"/>
      <c r="BF77" s="62" t="n"/>
      <c r="BG77" s="62" t="n"/>
      <c r="BH77" s="62" t="n"/>
      <c r="BI77" s="62" t="n"/>
      <c r="BJ77" s="62" t="n"/>
      <c r="BK77" s="66" t="n"/>
      <c r="BL77" s="66" t="n"/>
      <c r="BM77" s="66" t="n"/>
      <c r="BN77" s="66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52" t="n"/>
      <c r="BZ77" s="153" t="n"/>
      <c r="CA77" s="153" t="n"/>
      <c r="CB77" s="66" t="n"/>
      <c r="CC77" s="154" t="n"/>
      <c r="CD77" s="66" t="n"/>
      <c r="CE77" s="66" t="n"/>
      <c r="CF77" s="69" t="n"/>
      <c r="CG77" s="69" t="n"/>
      <c r="CH77" s="69" t="n"/>
      <c r="CI77" s="69" t="n"/>
      <c r="CJ77" s="69" t="n"/>
      <c r="CK77" s="69" t="n"/>
      <c r="CL77" s="69" t="n"/>
      <c r="CM77" s="17" t="n"/>
      <c r="CN77" s="17" t="n"/>
      <c r="CO77" s="38">
        <f>SUM(L77+M77+N77+BK77)/65+SUM(V77+W77)/44+SUM(AE77+AF77+AG77+AH77+AI77+BO77+BP77+BQ77+CF77+CG77)/45+SUM(AV77+AW77+BD77+BE77)/60</f>
        <v/>
      </c>
      <c r="CP77" s="38">
        <f>SUM(O77+P77+Q77+BL77+BM77+CB77+CC77)/65+SUM(X77+Y77)/44+SUM(AJ77+AK77+AM77+AN77+AO77+AP77+AQ77+BR77+BS77+BT77+BU77+BV77+CH77+CI77+CJ77+CK77)/45+SUM(AX77+AY77+AZ77+BA77+BF77+BG77+BH77)/60+SUM(AL77+BZ77)/50</f>
        <v/>
      </c>
      <c r="CQ77" s="38">
        <f>SUM(R77+S77+BN77+CD77+CE77)/65+SUM(AB77)/36+SUM(AR77+AS77+BW77+BX77+CL77+CM77)/40+SUM(BB77+BC77+BI77+BJ77)/60</f>
        <v/>
      </c>
      <c r="CR77" s="38">
        <f>SUM(Z77+AA77)/44</f>
        <v/>
      </c>
      <c r="CS77" s="38">
        <f>SUM(T77)/65+SUM(AC77+AD77)/40+SUM(AT77+AU77)/54</f>
        <v/>
      </c>
      <c r="CT77" s="38">
        <f>SUM(BY77+CN77)/45</f>
        <v/>
      </c>
      <c r="CU77" s="83">
        <f>SUM(U77)/75+SUM(CA77)/60</f>
        <v/>
      </c>
      <c r="CV77" s="155">
        <f>#REF!+B77-L77</f>
        <v/>
      </c>
      <c r="CW77" s="155">
        <f>CW76+C77-M77</f>
        <v/>
      </c>
      <c r="CX77" s="155">
        <f>CX76+D77-N77</f>
        <v/>
      </c>
      <c r="CY77" s="155">
        <f>CY76+E77-O77</f>
        <v/>
      </c>
      <c r="CZ77" s="155">
        <f>CZ76+F77-P77</f>
        <v/>
      </c>
      <c r="DA77" s="155">
        <f>DA76+G77-Q77</f>
        <v/>
      </c>
      <c r="DB77" s="155">
        <f>DB76+H77-R77</f>
        <v/>
      </c>
      <c r="DC77" s="155">
        <f>DC76+I77-S77</f>
        <v/>
      </c>
      <c r="DD77" s="155">
        <f>DD76+J77-T77</f>
        <v/>
      </c>
      <c r="DE77" s="156" t="n"/>
    </row>
    <row r="78" ht="20.25" customHeight="1">
      <c r="A78" s="6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65" t="n"/>
      <c r="L78" s="63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52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52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50" t="n"/>
      <c r="AW78" s="50" t="n"/>
      <c r="AX78" s="50" t="n"/>
      <c r="AY78" s="50" t="n"/>
      <c r="AZ78" s="50" t="n"/>
      <c r="BA78" s="50" t="n"/>
      <c r="BB78" s="50" t="n"/>
      <c r="BC78" s="50" t="n"/>
      <c r="BD78" s="62" t="n"/>
      <c r="BE78" s="62" t="n"/>
      <c r="BF78" s="62" t="n"/>
      <c r="BG78" s="62" t="n"/>
      <c r="BH78" s="62" t="n"/>
      <c r="BI78" s="62" t="n"/>
      <c r="BJ78" s="62" t="n"/>
      <c r="BK78" s="66" t="n"/>
      <c r="BL78" s="66" t="n"/>
      <c r="BM78" s="66" t="n"/>
      <c r="BN78" s="66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52" t="n"/>
      <c r="BZ78" s="153" t="n"/>
      <c r="CA78" s="153" t="n"/>
      <c r="CB78" s="66" t="n"/>
      <c r="CC78" s="154" t="n"/>
      <c r="CD78" s="66" t="n"/>
      <c r="CE78" s="66" t="n"/>
      <c r="CF78" s="69" t="n"/>
      <c r="CG78" s="69" t="n"/>
      <c r="CH78" s="69" t="n"/>
      <c r="CI78" s="69" t="n"/>
      <c r="CJ78" s="69" t="n"/>
      <c r="CK78" s="69" t="n"/>
      <c r="CL78" s="69" t="n"/>
      <c r="CM78" s="17" t="n"/>
      <c r="CN78" s="17" t="n"/>
      <c r="CO78" s="38">
        <f>SUM(L78+M78+N78+BK78)/65+SUM(V78+W78)/44+SUM(AE78+AF78+AG78+AH78+AI78+BO78+BP78+BQ78+CF78+CG78)/45+SUM(AV78+AW78+BD78+BE78)/60</f>
        <v/>
      </c>
      <c r="CP78" s="38">
        <f>SUM(O78+P78+Q78+BL78+BM78+CB78+CC78)/65+SUM(X78+Y78)/44+SUM(AJ78+AK78+AM78+AN78+AO78+AP78+AQ78+BR78+BS78+BT78+BU78+BV78+CH78+CI78+CJ78+CK78)/45+SUM(AX78+AY78+AZ78+BA78+BF78+BG78+BH78)/60+SUM(AL78+BZ78)/50</f>
        <v/>
      </c>
      <c r="CQ78" s="38">
        <f>SUM(R78+S78+BN78+CD78+CE78)/65+SUM(AB78)/36+SUM(AR78+AS78+BW78+BX78+CL78+CM78)/40+SUM(BB78+BC78+BI78+BJ78)/60</f>
        <v/>
      </c>
      <c r="CR78" s="38">
        <f>SUM(Z78+AA78)/44</f>
        <v/>
      </c>
      <c r="CS78" s="38">
        <f>SUM(T78)/65+SUM(AC78+AD78)/40+SUM(AT78+AU78)/54</f>
        <v/>
      </c>
      <c r="CT78" s="38">
        <f>SUM(BY78+CN78)/45</f>
        <v/>
      </c>
      <c r="CU78" s="83">
        <f>SUM(U78)/75+SUM(CA78)/60</f>
        <v/>
      </c>
      <c r="CV78" s="155">
        <f>#REF!+B78-L78</f>
        <v/>
      </c>
      <c r="CW78" s="155">
        <f>CW77+C78-M78</f>
        <v/>
      </c>
      <c r="CX78" s="155">
        <f>CX77+D78-N78</f>
        <v/>
      </c>
      <c r="CY78" s="155">
        <f>CY77+E78-O78</f>
        <v/>
      </c>
      <c r="CZ78" s="155">
        <f>CZ77+F78-P78</f>
        <v/>
      </c>
      <c r="DA78" s="155">
        <f>DA77+G78-Q78</f>
        <v/>
      </c>
      <c r="DB78" s="155">
        <f>DB77+H78-R78</f>
        <v/>
      </c>
      <c r="DC78" s="155">
        <f>DC77+I78-S78</f>
        <v/>
      </c>
      <c r="DD78" s="155">
        <f>DD77+J78-T78</f>
        <v/>
      </c>
      <c r="DE78" s="156" t="n"/>
    </row>
    <row r="79" ht="20.25" customHeight="1">
      <c r="A79" s="6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65" t="n"/>
      <c r="L79" s="63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52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52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50" t="n"/>
      <c r="AW79" s="50" t="n"/>
      <c r="AX79" s="50" t="n"/>
      <c r="AY79" s="50" t="n"/>
      <c r="AZ79" s="50" t="n"/>
      <c r="BA79" s="50" t="n"/>
      <c r="BB79" s="50" t="n"/>
      <c r="BC79" s="50" t="n"/>
      <c r="BD79" s="62" t="n"/>
      <c r="BE79" s="62" t="n"/>
      <c r="BF79" s="62" t="n"/>
      <c r="BG79" s="62" t="n"/>
      <c r="BH79" s="62" t="n"/>
      <c r="BI79" s="62" t="n"/>
      <c r="BJ79" s="62" t="n"/>
      <c r="BK79" s="66" t="n"/>
      <c r="BL79" s="66" t="n"/>
      <c r="BM79" s="66" t="n"/>
      <c r="BN79" s="66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52" t="n"/>
      <c r="BZ79" s="153" t="n"/>
      <c r="CA79" s="153" t="n"/>
      <c r="CB79" s="66" t="n"/>
      <c r="CC79" s="154" t="n"/>
      <c r="CD79" s="66" t="n"/>
      <c r="CE79" s="66" t="n"/>
      <c r="CF79" s="69" t="n"/>
      <c r="CG79" s="69" t="n"/>
      <c r="CH79" s="69" t="n"/>
      <c r="CI79" s="69" t="n"/>
      <c r="CJ79" s="69" t="n"/>
      <c r="CK79" s="69" t="n"/>
      <c r="CL79" s="69" t="n"/>
      <c r="CM79" s="17" t="n"/>
      <c r="CN79" s="17" t="n"/>
      <c r="CO79" s="38">
        <f>SUM(L79+M79+N79+BK79)/65+SUM(V79+W79)/44+SUM(AE79+AF79+AG79+AH79+AI79+BO79+BP79+BQ79+CF79+CG79)/45+SUM(AV79+AW79+BD79+BE79)/60</f>
        <v/>
      </c>
      <c r="CP79" s="38">
        <f>SUM(O79+P79+Q79+BL79+BM79+CB79+CC79)/65+SUM(X79+Y79)/44+SUM(AJ79+AK79+AM79+AN79+AO79+AP79+AQ79+BR79+BS79+BT79+BU79+BV79+CH79+CI79+CJ79+CK79)/45+SUM(AX79+AY79+AZ79+BA79+BF79+BG79+BH79)/60+SUM(AL79+BZ79)/50</f>
        <v/>
      </c>
      <c r="CQ79" s="38">
        <f>SUM(R79+S79+BN79+CD79+CE79)/65+SUM(AB79)/36+SUM(AR79+AS79+BW79+BX79+CL79+CM79)/40+SUM(BB79+BC79+BI79+BJ79)/60</f>
        <v/>
      </c>
      <c r="CR79" s="38">
        <f>SUM(Z79+AA79)/44</f>
        <v/>
      </c>
      <c r="CS79" s="38">
        <f>SUM(T79)/65+SUM(AC79+AD79)/40+SUM(AT79+AU79)/54</f>
        <v/>
      </c>
      <c r="CT79" s="38">
        <f>SUM(BY79+CN79)/45</f>
        <v/>
      </c>
      <c r="CU79" s="83">
        <f>SUM(U79)/75+SUM(CA79)/60</f>
        <v/>
      </c>
      <c r="CV79" s="155">
        <f>#REF!+B79-L79</f>
        <v/>
      </c>
      <c r="CW79" s="155">
        <f>CW78+C79-M79</f>
        <v/>
      </c>
      <c r="CX79" s="155">
        <f>CX78+D79-N79</f>
        <v/>
      </c>
      <c r="CY79" s="155">
        <f>CY78+E79-O79</f>
        <v/>
      </c>
      <c r="CZ79" s="155">
        <f>CZ78+F79-P79</f>
        <v/>
      </c>
      <c r="DA79" s="155">
        <f>DA78+G79-Q79</f>
        <v/>
      </c>
      <c r="DB79" s="155">
        <f>DB78+H79-R79</f>
        <v/>
      </c>
      <c r="DC79" s="155">
        <f>DC78+I79-S79</f>
        <v/>
      </c>
      <c r="DD79" s="155">
        <f>DD78+J79-T79</f>
        <v/>
      </c>
      <c r="DE79" s="156" t="n"/>
    </row>
    <row r="80" ht="20.25" customHeight="1">
      <c r="A80" s="6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65" t="n"/>
      <c r="L80" s="63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52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52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50" t="n"/>
      <c r="AW80" s="50" t="n"/>
      <c r="AX80" s="50" t="n"/>
      <c r="AY80" s="50" t="n"/>
      <c r="AZ80" s="50" t="n"/>
      <c r="BA80" s="50" t="n"/>
      <c r="BB80" s="50" t="n"/>
      <c r="BC80" s="50" t="n"/>
      <c r="BD80" s="62" t="n"/>
      <c r="BE80" s="62" t="n"/>
      <c r="BF80" s="62" t="n"/>
      <c r="BG80" s="62" t="n"/>
      <c r="BH80" s="62" t="n"/>
      <c r="BI80" s="62" t="n"/>
      <c r="BJ80" s="62" t="n"/>
      <c r="BK80" s="66" t="n"/>
      <c r="BL80" s="66" t="n"/>
      <c r="BM80" s="66" t="n"/>
      <c r="BN80" s="66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52" t="n"/>
      <c r="BZ80" s="153" t="n"/>
      <c r="CA80" s="153" t="n"/>
      <c r="CB80" s="66" t="n"/>
      <c r="CC80" s="154" t="n"/>
      <c r="CD80" s="66" t="n"/>
      <c r="CE80" s="66" t="n"/>
      <c r="CF80" s="69" t="n"/>
      <c r="CG80" s="69" t="n"/>
      <c r="CH80" s="69" t="n"/>
      <c r="CI80" s="69" t="n"/>
      <c r="CJ80" s="69" t="n"/>
      <c r="CK80" s="69" t="n"/>
      <c r="CL80" s="69" t="n"/>
      <c r="CM80" s="17" t="n"/>
      <c r="CN80" s="17" t="n"/>
      <c r="CO80" s="38">
        <f>SUM(L80+M80+N80+BK80)/65+SUM(V80+W80)/44+SUM(AE80+AF80+AG80+AH80+AI80+BO80+BP80+BQ80+CF80+CG80)/45+SUM(AV80+AW80+BD80+BE80)/60</f>
        <v/>
      </c>
      <c r="CP80" s="38">
        <f>SUM(O80+P80+Q80+BL80+BM80+CB80+CC80)/65+SUM(X80+Y80)/44+SUM(AJ80+AK80+AM80+AN80+AO80+AP80+AQ80+BR80+BS80+BT80+BU80+BV80+CH80+CI80+CJ80+CK80)/45+SUM(AX80+AY80+AZ80+BA80+BF80+BG80+BH80)/60+SUM(AL80+BZ80)/50</f>
        <v/>
      </c>
      <c r="CQ80" s="38">
        <f>SUM(R80+S80+BN80+CD80+CE80)/65+SUM(AB80)/36+SUM(AR80+AS80+BW80+BX80+CL80+CM80)/40+SUM(BB80+BC80+BI80+BJ80)/60</f>
        <v/>
      </c>
      <c r="CR80" s="38">
        <f>SUM(Z80+AA80)/44</f>
        <v/>
      </c>
      <c r="CS80" s="38">
        <f>SUM(T80)/65+SUM(AC80+AD80)/40+SUM(AT80+AU80)/54</f>
        <v/>
      </c>
      <c r="CT80" s="38">
        <f>SUM(BY80+CN80)/45</f>
        <v/>
      </c>
      <c r="CU80" s="83">
        <f>SUM(U80)/75+SUM(CA80)/60</f>
        <v/>
      </c>
      <c r="CV80" s="155">
        <f>#REF!+B80-L80</f>
        <v/>
      </c>
      <c r="CW80" s="155">
        <f>CW79+C80-M80</f>
        <v/>
      </c>
      <c r="CX80" s="155">
        <f>CX79+D80-N80</f>
        <v/>
      </c>
      <c r="CY80" s="155">
        <f>CY79+E80-O80</f>
        <v/>
      </c>
      <c r="CZ80" s="155">
        <f>CZ79+F80-P80</f>
        <v/>
      </c>
      <c r="DA80" s="155">
        <f>DA79+G80-Q80</f>
        <v/>
      </c>
      <c r="DB80" s="155">
        <f>DB79+H80-R80</f>
        <v/>
      </c>
      <c r="DC80" s="155">
        <f>DC79+I80-S80</f>
        <v/>
      </c>
      <c r="DD80" s="155">
        <f>DD79+J80-T80</f>
        <v/>
      </c>
      <c r="DE80" s="156" t="n"/>
    </row>
    <row r="81" ht="20.25" customHeight="1">
      <c r="A81" s="6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65" t="n"/>
      <c r="L81" s="63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52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52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50" t="n"/>
      <c r="AW81" s="50" t="n"/>
      <c r="AX81" s="50" t="n"/>
      <c r="AY81" s="50" t="n"/>
      <c r="AZ81" s="50" t="n"/>
      <c r="BA81" s="50" t="n"/>
      <c r="BB81" s="50" t="n"/>
      <c r="BC81" s="50" t="n"/>
      <c r="BD81" s="62" t="n"/>
      <c r="BE81" s="62" t="n"/>
      <c r="BF81" s="62" t="n"/>
      <c r="BG81" s="62" t="n"/>
      <c r="BH81" s="62" t="n"/>
      <c r="BI81" s="62" t="n"/>
      <c r="BJ81" s="62" t="n"/>
      <c r="BK81" s="66" t="n"/>
      <c r="BL81" s="66" t="n"/>
      <c r="BM81" s="66" t="n"/>
      <c r="BN81" s="66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52" t="n"/>
      <c r="BZ81" s="153" t="n"/>
      <c r="CA81" s="153" t="n"/>
      <c r="CB81" s="66" t="n"/>
      <c r="CC81" s="154" t="n"/>
      <c r="CD81" s="66" t="n"/>
      <c r="CE81" s="66" t="n"/>
      <c r="CF81" s="69" t="n"/>
      <c r="CG81" s="69" t="n"/>
      <c r="CH81" s="69" t="n"/>
      <c r="CI81" s="69" t="n"/>
      <c r="CJ81" s="69" t="n"/>
      <c r="CK81" s="69" t="n"/>
      <c r="CL81" s="69" t="n"/>
      <c r="CM81" s="17" t="n"/>
      <c r="CN81" s="17" t="n"/>
      <c r="CO81" s="38">
        <f>SUM(L81+M81+N81+BK81)/65+SUM(V81+W81)/44+SUM(AE81+AF81+AG81+AH81+AI81+BO81+BP81+BQ81+CF81+CG81)/45+SUM(AV81+AW81+BD81+BE81)/60</f>
        <v/>
      </c>
      <c r="CP81" s="38">
        <f>SUM(O81+P81+Q81+BL81+BM81+CB81+CC81)/65+SUM(X81+Y81)/44+SUM(AJ81+AK81+AM81+AN81+AO81+AP81+AQ81+BR81+BS81+BT81+BU81+BV81+CH81+CI81+CJ81+CK81)/45+SUM(AX81+AY81+AZ81+BA81+BF81+BG81+BH81)/60+SUM(AL81+BZ81)/50</f>
        <v/>
      </c>
      <c r="CQ81" s="38">
        <f>SUM(R81+S81+BN81+CD81+CE81)/65+SUM(AB81)/36+SUM(AR81+AS81+BW81+BX81+CL81+CM81)/40+SUM(BB81+BC81+BI81+BJ81)/60</f>
        <v/>
      </c>
      <c r="CR81" s="38">
        <f>SUM(Z81+AA81)/44</f>
        <v/>
      </c>
      <c r="CS81" s="38">
        <f>SUM(T81)/65+SUM(AC81+AD81)/40+SUM(AT81+AU81)/54</f>
        <v/>
      </c>
      <c r="CT81" s="38">
        <f>SUM(BY81+CN81)/45</f>
        <v/>
      </c>
      <c r="CU81" s="83">
        <f>SUM(U81)/75+SUM(CA81)/60</f>
        <v/>
      </c>
      <c r="CV81" s="155">
        <f>CV77+B81-L81</f>
        <v/>
      </c>
      <c r="CW81" s="155">
        <f>CW80+C81-M81</f>
        <v/>
      </c>
      <c r="CX81" s="155">
        <f>CX80+D81-N81</f>
        <v/>
      </c>
      <c r="CY81" s="155">
        <f>CY80+E81-O81</f>
        <v/>
      </c>
      <c r="CZ81" s="155">
        <f>CZ80+F81-P81</f>
        <v/>
      </c>
      <c r="DA81" s="155">
        <f>DA80+G81-Q81</f>
        <v/>
      </c>
      <c r="DB81" s="155">
        <f>DB80+H81-R81</f>
        <v/>
      </c>
      <c r="DC81" s="155">
        <f>DC80+I81-S81</f>
        <v/>
      </c>
      <c r="DD81" s="155">
        <f>DD80+J81-T81</f>
        <v/>
      </c>
      <c r="DE81" s="156" t="n"/>
    </row>
    <row r="82" ht="20.25" customHeight="1">
      <c r="A82" s="61" t="n"/>
      <c r="B82" s="152" t="n"/>
      <c r="C82" s="152" t="n"/>
      <c r="D82" s="152" t="n"/>
      <c r="E82" s="152" t="n"/>
      <c r="F82" s="152" t="n"/>
      <c r="G82" s="152" t="n"/>
      <c r="H82" s="152" t="n"/>
      <c r="I82" s="152" t="n"/>
      <c r="J82" s="152" t="n"/>
      <c r="K82" s="65" t="n"/>
      <c r="L82" s="63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52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52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50" t="n"/>
      <c r="AW82" s="50" t="n"/>
      <c r="AX82" s="50" t="n"/>
      <c r="AY82" s="50" t="n"/>
      <c r="AZ82" s="50" t="n"/>
      <c r="BA82" s="50" t="n"/>
      <c r="BB82" s="50" t="n"/>
      <c r="BC82" s="50" t="n"/>
      <c r="BD82" s="62" t="n"/>
      <c r="BE82" s="62" t="n"/>
      <c r="BF82" s="62" t="n"/>
      <c r="BG82" s="62" t="n"/>
      <c r="BH82" s="62" t="n"/>
      <c r="BI82" s="62" t="n"/>
      <c r="BJ82" s="62" t="n"/>
      <c r="BK82" s="66" t="n"/>
      <c r="BL82" s="66" t="n"/>
      <c r="BM82" s="66" t="n"/>
      <c r="BN82" s="66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52" t="n"/>
      <c r="BZ82" s="153" t="n"/>
      <c r="CA82" s="153" t="n"/>
      <c r="CB82" s="66" t="n"/>
      <c r="CC82" s="154" t="n"/>
      <c r="CD82" s="66" t="n"/>
      <c r="CE82" s="66" t="n"/>
      <c r="CF82" s="69" t="n"/>
      <c r="CG82" s="69" t="n"/>
      <c r="CH82" s="69" t="n"/>
      <c r="CI82" s="69" t="n"/>
      <c r="CJ82" s="69" t="n"/>
      <c r="CK82" s="69" t="n"/>
      <c r="CL82" s="69" t="n"/>
      <c r="CM82" s="17" t="n"/>
      <c r="CN82" s="17" t="n"/>
      <c r="CO82" s="38">
        <f>SUM(L82+M82+N82+BK82)/65+SUM(V82+W82)/44+SUM(AE82+AF82+AG82+AH82+AI82+BO82+BP82+BQ82+CF82+CG82)/45+SUM(AV82+AW82+BD82+BE82)/60</f>
        <v/>
      </c>
      <c r="CP82" s="38">
        <f>SUM(O82+P82+Q82+BL82+BM82+CB82+CC82)/65+SUM(X82+Y82)/44+SUM(AJ82+AK82+AM82+AN82+AO82+AP82+AQ82+BR82+BS82+BT82+BU82+BV82+CH82+CI82+CJ82+CK82)/45+SUM(AX82+AY82+AZ82+BA82+BF82+BG82+BH82)/60+SUM(AL82+BZ82)/50</f>
        <v/>
      </c>
      <c r="CQ82" s="38">
        <f>SUM(R82+S82+BN82+CD82+CE82)/65+SUM(AB82)/36+SUM(AR82+AS82+BW82+BX82+CL82+CM82)/40+SUM(BB82+BC82+BI82+BJ82)/60</f>
        <v/>
      </c>
      <c r="CR82" s="38">
        <f>SUM(Z82+AA82)/44</f>
        <v/>
      </c>
      <c r="CS82" s="38">
        <f>SUM(T82)/65+SUM(AC82+AD82)/40+SUM(AT82+AU82)/54</f>
        <v/>
      </c>
      <c r="CT82" s="38">
        <f>SUM(BY82+CN82)/45</f>
        <v/>
      </c>
      <c r="CU82" s="83">
        <f>SUM(U82)/75+SUM(CA82)/60</f>
        <v/>
      </c>
      <c r="CV82" s="157">
        <f>CV81+B82-L82</f>
        <v/>
      </c>
      <c r="CW82" s="155">
        <f>CW81+C82-M82</f>
        <v/>
      </c>
      <c r="CX82" s="155">
        <f>CX81+D82-N82</f>
        <v/>
      </c>
      <c r="CY82" s="155">
        <f>CY81+E82-O82</f>
        <v/>
      </c>
      <c r="CZ82" s="155">
        <f>CZ81+F82-P82</f>
        <v/>
      </c>
      <c r="DA82" s="155">
        <f>DA81+G82-Q82</f>
        <v/>
      </c>
      <c r="DB82" s="155">
        <f>DB81+H82-R82</f>
        <v/>
      </c>
      <c r="DC82" s="155">
        <f>DC81+I82-S82</f>
        <v/>
      </c>
      <c r="DD82" s="155">
        <f>DD81+J82-T82</f>
        <v/>
      </c>
      <c r="DE82" s="156" t="n"/>
    </row>
    <row r="83" ht="20.25" customHeight="1">
      <c r="A83" s="6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65" t="n"/>
      <c r="L83" s="63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52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52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50" t="n"/>
      <c r="AW83" s="50" t="n"/>
      <c r="AX83" s="50" t="n"/>
      <c r="AY83" s="50" t="n"/>
      <c r="AZ83" s="50" t="n"/>
      <c r="BA83" s="50" t="n"/>
      <c r="BB83" s="50" t="n"/>
      <c r="BC83" s="50" t="n"/>
      <c r="BD83" s="62" t="n"/>
      <c r="BE83" s="62" t="n"/>
      <c r="BF83" s="62" t="n"/>
      <c r="BG83" s="62" t="n"/>
      <c r="BH83" s="62" t="n"/>
      <c r="BI83" s="62" t="n"/>
      <c r="BJ83" s="62" t="n"/>
      <c r="BK83" s="66" t="n"/>
      <c r="BL83" s="66" t="n"/>
      <c r="BM83" s="66" t="n"/>
      <c r="BN83" s="66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52" t="n"/>
      <c r="BZ83" s="153" t="n"/>
      <c r="CA83" s="153" t="n"/>
      <c r="CB83" s="66" t="n"/>
      <c r="CC83" s="154" t="n"/>
      <c r="CD83" s="66" t="n"/>
      <c r="CE83" s="66" t="n"/>
      <c r="CF83" s="69" t="n"/>
      <c r="CG83" s="69" t="n"/>
      <c r="CH83" s="69" t="n"/>
      <c r="CI83" s="69" t="n"/>
      <c r="CJ83" s="69" t="n"/>
      <c r="CK83" s="69" t="n"/>
      <c r="CL83" s="69" t="n"/>
      <c r="CM83" s="17" t="n"/>
      <c r="CN83" s="17" t="n"/>
      <c r="CO83" s="38">
        <f>SUM(L83+M83+N83+BK83)/65+SUM(V83+W83)/44+SUM(AE83+AF83+AG83+AH83+AI83+BO83+BP83+BQ83+CF83+CG83)/45+SUM(AV83+AW83+BD83+BE83)/60</f>
        <v/>
      </c>
      <c r="CP83" s="38">
        <f>SUM(O83+P83+Q83+BL83+BM83+CB83+CC83)/65+SUM(X83+Y83)/44+SUM(AJ83+AK83+AM83+AN83+AO83+AP83+AQ83+BR83+BS83+BT83+BU83+BV83+CH83+CI83+CJ83+CK83)/45+SUM(AX83+AY83+AZ83+BA83+BF83+BG83+BH83)/60+SUM(AL83+BZ83)/50</f>
        <v/>
      </c>
      <c r="CQ83" s="38">
        <f>SUM(R83+S83+BN83+CD83+CE83)/65+SUM(AB83)/36+SUM(AR83+AS83+BW83+BX83+CL83+CM83)/40+SUM(BB83+BC83+BI83+BJ83)/60</f>
        <v/>
      </c>
      <c r="CR83" s="38">
        <f>SUM(Z83+AA83)/44</f>
        <v/>
      </c>
      <c r="CS83" s="38">
        <f>SUM(T83)/65+SUM(AC83+AD83)/40+SUM(AT83+AU83)/54</f>
        <v/>
      </c>
      <c r="CT83" s="38">
        <f>SUM(BY83+CN83)/45</f>
        <v/>
      </c>
      <c r="CU83" s="83">
        <f>SUM(U83)/75+SUM(CA83)/60</f>
        <v/>
      </c>
      <c r="CV83" s="155">
        <f>#REF!+B83-L83</f>
        <v/>
      </c>
      <c r="CW83" s="155">
        <f>CW82+C83-M83</f>
        <v/>
      </c>
      <c r="CX83" s="155">
        <f>CX82+D83-N83</f>
        <v/>
      </c>
      <c r="CY83" s="155">
        <f>CY82+E83-O83</f>
        <v/>
      </c>
      <c r="CZ83" s="155">
        <f>CZ82+F83-P83</f>
        <v/>
      </c>
      <c r="DA83" s="155">
        <f>DA82+G83-Q83</f>
        <v/>
      </c>
      <c r="DB83" s="155">
        <f>DB82+H83-R83</f>
        <v/>
      </c>
      <c r="DC83" s="155">
        <f>DC82+I83-S83</f>
        <v/>
      </c>
      <c r="DD83" s="155">
        <f>DD82+J83-T83</f>
        <v/>
      </c>
      <c r="DE83" s="156" t="n"/>
    </row>
    <row r="84" ht="20.25" customHeight="1">
      <c r="A84" s="6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65" t="n"/>
      <c r="L84" s="63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52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52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50" t="n"/>
      <c r="AW84" s="50" t="n"/>
      <c r="AX84" s="50" t="n"/>
      <c r="AY84" s="50" t="n"/>
      <c r="AZ84" s="50" t="n"/>
      <c r="BA84" s="50" t="n"/>
      <c r="BB84" s="50" t="n"/>
      <c r="BC84" s="50" t="n"/>
      <c r="BD84" s="62" t="n"/>
      <c r="BE84" s="62" t="n"/>
      <c r="BF84" s="62" t="n"/>
      <c r="BG84" s="62" t="n"/>
      <c r="BH84" s="62" t="n"/>
      <c r="BI84" s="62" t="n"/>
      <c r="BJ84" s="62" t="n"/>
      <c r="BK84" s="66" t="n"/>
      <c r="BL84" s="66" t="n"/>
      <c r="BM84" s="66" t="n"/>
      <c r="BN84" s="66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52" t="n"/>
      <c r="BZ84" s="153" t="n"/>
      <c r="CA84" s="153" t="n"/>
      <c r="CB84" s="66" t="n"/>
      <c r="CC84" s="154" t="n"/>
      <c r="CD84" s="66" t="n"/>
      <c r="CE84" s="66" t="n"/>
      <c r="CF84" s="69" t="n"/>
      <c r="CG84" s="69" t="n"/>
      <c r="CH84" s="69" t="n"/>
      <c r="CI84" s="69" t="n"/>
      <c r="CJ84" s="69" t="n"/>
      <c r="CK84" s="69" t="n"/>
      <c r="CL84" s="69" t="n"/>
      <c r="CM84" s="17" t="n"/>
      <c r="CN84" s="17" t="n"/>
      <c r="CO84" s="38">
        <f>SUM(L84+M84+N84+BK84)/65+SUM(V84+W84)/44+SUM(AE84+AF84+AG84+AH84+AI84+BO84+BP84+BQ84+CF84+CG84)/45+SUM(AV84+AW84+BD84+BE84)/60</f>
        <v/>
      </c>
      <c r="CP84" s="38">
        <f>SUM(O84+P84+Q84+BL84+BM84+CB84+CC84)/65+SUM(X84+Y84)/44+SUM(AJ84+AK84+AM84+AN84+AO84+AP84+AQ84+BR84+BS84+BT84+BU84+BV84+CH84+CI84+CJ84+CK84)/45+SUM(AX84+AY84+AZ84+BA84+BF84+BG84+BH84)/60+SUM(AL84+BZ84)/50</f>
        <v/>
      </c>
      <c r="CQ84" s="38">
        <f>SUM(R84+S84+BN84+CD84+CE84)/65+SUM(AB84)/36+SUM(AR84+AS84+BW84+BX84+CL84+CM84)/40+SUM(BB84+BC84+BI84+BJ84)/60</f>
        <v/>
      </c>
      <c r="CR84" s="38">
        <f>SUM(Z84+AA84)/44</f>
        <v/>
      </c>
      <c r="CS84" s="38">
        <f>SUM(T84)/65+SUM(AC84+AD84)/40+SUM(AT84+AU84)/54</f>
        <v/>
      </c>
      <c r="CT84" s="38">
        <f>SUM(BY84+CN84)/45</f>
        <v/>
      </c>
      <c r="CU84" s="83">
        <f>SUM(U84)/75+SUM(CA84)/60</f>
        <v/>
      </c>
      <c r="CV84" s="155">
        <f>#REF!+B84-L84</f>
        <v/>
      </c>
      <c r="CW84" s="155">
        <f>CW83+C84-M84</f>
        <v/>
      </c>
      <c r="CX84" s="155">
        <f>CX83+D84-N84</f>
        <v/>
      </c>
      <c r="CY84" s="155">
        <f>CY83+E84-O84</f>
        <v/>
      </c>
      <c r="CZ84" s="155">
        <f>CZ83+F84-P84</f>
        <v/>
      </c>
      <c r="DA84" s="155">
        <f>DA83+G84-Q84</f>
        <v/>
      </c>
      <c r="DB84" s="155">
        <f>DB83+H84-R84</f>
        <v/>
      </c>
      <c r="DC84" s="155">
        <f>DC83+I84-S84</f>
        <v/>
      </c>
      <c r="DD84" s="155">
        <f>DD83+J84-T84</f>
        <v/>
      </c>
      <c r="DE84" s="156" t="n"/>
    </row>
    <row r="85" ht="20.25" customHeight="1">
      <c r="A85" s="6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65" t="n"/>
      <c r="L85" s="63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52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52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50" t="n"/>
      <c r="AW85" s="50" t="n"/>
      <c r="AX85" s="50" t="n"/>
      <c r="AY85" s="50" t="n"/>
      <c r="AZ85" s="50" t="n"/>
      <c r="BA85" s="50" t="n"/>
      <c r="BB85" s="50" t="n"/>
      <c r="BC85" s="50" t="n"/>
      <c r="BD85" s="62" t="n"/>
      <c r="BE85" s="62" t="n"/>
      <c r="BF85" s="62" t="n"/>
      <c r="BG85" s="62" t="n"/>
      <c r="BH85" s="62" t="n"/>
      <c r="BI85" s="62" t="n"/>
      <c r="BJ85" s="62" t="n"/>
      <c r="BK85" s="66" t="n"/>
      <c r="BL85" s="66" t="n"/>
      <c r="BM85" s="66" t="n"/>
      <c r="BN85" s="66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52" t="n"/>
      <c r="BZ85" s="153" t="n"/>
      <c r="CA85" s="153" t="n"/>
      <c r="CB85" s="66" t="n"/>
      <c r="CC85" s="154" t="n"/>
      <c r="CD85" s="66" t="n"/>
      <c r="CE85" s="66" t="n"/>
      <c r="CF85" s="69" t="n"/>
      <c r="CG85" s="69" t="n"/>
      <c r="CH85" s="69" t="n"/>
      <c r="CI85" s="69" t="n"/>
      <c r="CJ85" s="69" t="n"/>
      <c r="CK85" s="69" t="n"/>
      <c r="CL85" s="69" t="n"/>
      <c r="CM85" s="17" t="n"/>
      <c r="CN85" s="17" t="n"/>
      <c r="CO85" s="38">
        <f>SUM(L85+M85+N85+BK85)/65+SUM(V85+W85)/44+SUM(AE85+AF85+AG85+AH85+AI85+BO85+BP85+BQ85+CF85+CG85)/45+SUM(AV85+AW85+BD85+BE85)/60</f>
        <v/>
      </c>
      <c r="CP85" s="38">
        <f>SUM(O85+P85+Q85+BL85+BM85+CB85+CC85)/65+SUM(X85+Y85)/44+SUM(AJ85+AK85+AM85+AN85+AO85+AP85+AQ85+BR85+BS85+BT85+BU85+BV85+CH85+CI85+CJ85+CK85)/45+SUM(AX85+AY85+AZ85+BA85+BF85+BG85+BH85)/60+SUM(AL85+BZ85)/50</f>
        <v/>
      </c>
      <c r="CQ85" s="38">
        <f>SUM(R85+S85+BN85+CD85+CE85)/65+SUM(AB85)/36+SUM(AR85+AS85+BW85+BX85+CL85+CM85)/40+SUM(BB85+BC85+BI85+BJ85)/60</f>
        <v/>
      </c>
      <c r="CR85" s="38">
        <f>SUM(Z85+AA85)/44</f>
        <v/>
      </c>
      <c r="CS85" s="38">
        <f>SUM(T85)/65+SUM(AC85+AD85)/40+SUM(AT85+AU85)/54</f>
        <v/>
      </c>
      <c r="CT85" s="38">
        <f>SUM(BY85+CN85)/45</f>
        <v/>
      </c>
      <c r="CU85" s="83">
        <f>SUM(U85)/75+SUM(CA85)/60</f>
        <v/>
      </c>
      <c r="CV85" s="155">
        <f>#REF!+B85-L85</f>
        <v/>
      </c>
      <c r="CW85" s="155">
        <f>CW84+C85-M85</f>
        <v/>
      </c>
      <c r="CX85" s="155">
        <f>CX84+D85-N85</f>
        <v/>
      </c>
      <c r="CY85" s="155">
        <f>CY84+E85-O85</f>
        <v/>
      </c>
      <c r="CZ85" s="155">
        <f>CZ84+F85-P85</f>
        <v/>
      </c>
      <c r="DA85" s="155">
        <f>DA84+G85-Q85</f>
        <v/>
      </c>
      <c r="DB85" s="155">
        <f>DB84+H85-R85</f>
        <v/>
      </c>
      <c r="DC85" s="155">
        <f>DC84+I85-S85</f>
        <v/>
      </c>
      <c r="DD85" s="155">
        <f>DD84+J85-T85</f>
        <v/>
      </c>
      <c r="DE85" s="156" t="n"/>
    </row>
    <row r="86" ht="20.25" customHeight="1">
      <c r="A86" s="6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65" t="n"/>
      <c r="L86" s="63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52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52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50" t="n"/>
      <c r="AW86" s="50" t="n"/>
      <c r="AX86" s="50" t="n"/>
      <c r="AY86" s="50" t="n"/>
      <c r="AZ86" s="50" t="n"/>
      <c r="BA86" s="50" t="n"/>
      <c r="BB86" s="50" t="n"/>
      <c r="BC86" s="50" t="n"/>
      <c r="BD86" s="62" t="n"/>
      <c r="BE86" s="62" t="n"/>
      <c r="BF86" s="62" t="n"/>
      <c r="BG86" s="62" t="n"/>
      <c r="BH86" s="62" t="n"/>
      <c r="BI86" s="62" t="n"/>
      <c r="BJ86" s="62" t="n"/>
      <c r="BK86" s="66" t="n"/>
      <c r="BL86" s="66" t="n"/>
      <c r="BM86" s="66" t="n"/>
      <c r="BN86" s="66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52" t="n"/>
      <c r="BZ86" s="153" t="n"/>
      <c r="CA86" s="153" t="n"/>
      <c r="CB86" s="66" t="n"/>
      <c r="CC86" s="154" t="n"/>
      <c r="CD86" s="66" t="n"/>
      <c r="CE86" s="66" t="n"/>
      <c r="CF86" s="69" t="n"/>
      <c r="CG86" s="69" t="n"/>
      <c r="CH86" s="69" t="n"/>
      <c r="CI86" s="69" t="n"/>
      <c r="CJ86" s="69" t="n"/>
      <c r="CK86" s="69" t="n"/>
      <c r="CL86" s="69" t="n"/>
      <c r="CM86" s="17" t="n"/>
      <c r="CN86" s="17" t="n"/>
      <c r="CO86" s="38">
        <f>SUM(L86+M86+N86+BK86)/65+SUM(V86+W86)/44+SUM(AE86+AF86+AG86+AH86+AI86+BO86+BP86+BQ86+CF86+CG86)/45+SUM(AV86+AW86+BD86+BE86)/60</f>
        <v/>
      </c>
      <c r="CP86" s="38">
        <f>SUM(O86+P86+Q86+BL86+BM86+CB86+CC86)/65+SUM(X86+Y86)/44+SUM(AJ86+AK86+AM86+AN86+AO86+AP86+AQ86+BR86+BS86+BT86+BU86+BV86+CH86+CI86+CJ86+CK86)/45+SUM(AX86+AY86+AZ86+BA86+BF86+BG86+BH86)/60+SUM(AL86+BZ86)/50</f>
        <v/>
      </c>
      <c r="CQ86" s="38">
        <f>SUM(R86+S86+BN86+CD86+CE86)/65+SUM(AB86)/36+SUM(AR86+AS86+BW86+BX86+CL86+CM86)/40+SUM(BB86+BC86+BI86+BJ86)/60</f>
        <v/>
      </c>
      <c r="CR86" s="38">
        <f>SUM(Z86+AA86)/44</f>
        <v/>
      </c>
      <c r="CS86" s="38">
        <f>SUM(T86)/65+SUM(AC86+AD86)/40+SUM(AT86+AU86)/54</f>
        <v/>
      </c>
      <c r="CT86" s="38">
        <f>SUM(BY86+CN86)/45</f>
        <v/>
      </c>
      <c r="CU86" s="83">
        <f>SUM(U86)/75+SUM(CA86)/60</f>
        <v/>
      </c>
      <c r="CV86" s="155">
        <f>#REF!+B86-L86</f>
        <v/>
      </c>
      <c r="CW86" s="155">
        <f>CW85+C86-M86</f>
        <v/>
      </c>
      <c r="CX86" s="155">
        <f>CX85+D86-N86</f>
        <v/>
      </c>
      <c r="CY86" s="155">
        <f>CY85+E86-O86</f>
        <v/>
      </c>
      <c r="CZ86" s="155">
        <f>CZ85+F86-P86</f>
        <v/>
      </c>
      <c r="DA86" s="155">
        <f>DA85+G86-Q86</f>
        <v/>
      </c>
      <c r="DB86" s="155">
        <f>DB85+H86-R86</f>
        <v/>
      </c>
      <c r="DC86" s="155">
        <f>DC85+I86-S86</f>
        <v/>
      </c>
      <c r="DD86" s="155">
        <f>DD85+J86-T86</f>
        <v/>
      </c>
      <c r="DE86" s="156" t="n"/>
    </row>
    <row r="87" ht="20.25" customHeight="1">
      <c r="A87" s="6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65" t="n"/>
      <c r="L87" s="63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52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52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50" t="n"/>
      <c r="AW87" s="50" t="n"/>
      <c r="AX87" s="50" t="n"/>
      <c r="AY87" s="50" t="n"/>
      <c r="AZ87" s="50" t="n"/>
      <c r="BA87" s="50" t="n"/>
      <c r="BB87" s="50" t="n"/>
      <c r="BC87" s="50" t="n"/>
      <c r="BD87" s="62" t="n"/>
      <c r="BE87" s="62" t="n"/>
      <c r="BF87" s="62" t="n"/>
      <c r="BG87" s="62" t="n"/>
      <c r="BH87" s="62" t="n"/>
      <c r="BI87" s="62" t="n"/>
      <c r="BJ87" s="62" t="n"/>
      <c r="BK87" s="66" t="n"/>
      <c r="BL87" s="66" t="n"/>
      <c r="BM87" s="66" t="n"/>
      <c r="BN87" s="66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52" t="n"/>
      <c r="BZ87" s="153" t="n"/>
      <c r="CA87" s="153" t="n"/>
      <c r="CB87" s="66" t="n"/>
      <c r="CC87" s="154" t="n"/>
      <c r="CD87" s="66" t="n"/>
      <c r="CE87" s="66" t="n"/>
      <c r="CF87" s="69" t="n"/>
      <c r="CG87" s="69" t="n"/>
      <c r="CH87" s="69" t="n"/>
      <c r="CI87" s="69" t="n"/>
      <c r="CJ87" s="69" t="n"/>
      <c r="CK87" s="69" t="n"/>
      <c r="CL87" s="69" t="n"/>
      <c r="CM87" s="17" t="n"/>
      <c r="CN87" s="17" t="n"/>
      <c r="CO87" s="38">
        <f>SUM(L87+M87+N87+BK87)/65+SUM(V87+W87)/44+SUM(AE87+AF87+AG87+AH87+AI87+BO87+BP87+BQ87+CF87+CG87)/45+SUM(AV87+AW87+BD87+BE87)/60</f>
        <v/>
      </c>
      <c r="CP87" s="38">
        <f>SUM(O87+P87+Q87+BL87+BM87+CB87+CC87)/65+SUM(X87+Y87)/44+SUM(AJ87+AK87+AM87+AN87+AO87+AP87+AQ87+BR87+BS87+BT87+BU87+BV87+CH87+CI87+CJ87+CK87)/45+SUM(AX87+AY87+AZ87+BA87+BF87+BG87+BH87)/60+SUM(AL87+BZ87)/50</f>
        <v/>
      </c>
      <c r="CQ87" s="38">
        <f>SUM(R87+S87+BN87+CD87+CE87)/65+SUM(AB87)/36+SUM(AR87+AS87+BW87+BX87+CL87+CM87)/40+SUM(BB87+BC87+BI87+BJ87)/60</f>
        <v/>
      </c>
      <c r="CR87" s="38">
        <f>SUM(Z87+AA87)/44</f>
        <v/>
      </c>
      <c r="CS87" s="38">
        <f>SUM(T87)/65+SUM(AC87+AD87)/40+SUM(AT87+AU87)/54</f>
        <v/>
      </c>
      <c r="CT87" s="38">
        <f>SUM(BY87+CN87)/45</f>
        <v/>
      </c>
      <c r="CU87" s="83">
        <f>SUM(U87)/75+SUM(CA87)/60</f>
        <v/>
      </c>
      <c r="CV87" s="155">
        <f>CV85+B87-L87</f>
        <v/>
      </c>
      <c r="CW87" s="155">
        <f>CW86+C87-M87</f>
        <v/>
      </c>
      <c r="CX87" s="155">
        <f>CX86+D87-N87</f>
        <v/>
      </c>
      <c r="CY87" s="155">
        <f>CY86+E87-O87</f>
        <v/>
      </c>
      <c r="CZ87" s="155">
        <f>CZ86+F87-P87</f>
        <v/>
      </c>
      <c r="DA87" s="155">
        <f>DA86+G87-Q87</f>
        <v/>
      </c>
      <c r="DB87" s="155">
        <f>DB86+H87-R87</f>
        <v/>
      </c>
      <c r="DC87" s="155">
        <f>DC86+I87-S87</f>
        <v/>
      </c>
      <c r="DD87" s="155">
        <f>DD86+J87-T87</f>
        <v/>
      </c>
      <c r="DE87" s="156" t="n"/>
    </row>
    <row r="88" ht="20.25" customHeight="1">
      <c r="A88" s="61" t="n"/>
      <c r="B88" s="152" t="n"/>
      <c r="C88" s="152" t="n"/>
      <c r="D88" s="152" t="n"/>
      <c r="E88" s="152" t="n"/>
      <c r="F88" s="152" t="n"/>
      <c r="G88" s="152" t="n"/>
      <c r="H88" s="152" t="n"/>
      <c r="I88" s="152" t="n"/>
      <c r="J88" s="152" t="n"/>
      <c r="K88" s="65" t="n"/>
      <c r="L88" s="63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52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52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50" t="n"/>
      <c r="AW88" s="50" t="n"/>
      <c r="AX88" s="50" t="n"/>
      <c r="AY88" s="50" t="n"/>
      <c r="AZ88" s="50" t="n"/>
      <c r="BA88" s="50" t="n"/>
      <c r="BB88" s="50" t="n"/>
      <c r="BC88" s="50" t="n"/>
      <c r="BD88" s="62" t="n"/>
      <c r="BE88" s="62" t="n"/>
      <c r="BF88" s="62" t="n"/>
      <c r="BG88" s="62" t="n"/>
      <c r="BH88" s="62" t="n"/>
      <c r="BI88" s="62" t="n"/>
      <c r="BJ88" s="62" t="n"/>
      <c r="BK88" s="66" t="n"/>
      <c r="BL88" s="66" t="n"/>
      <c r="BM88" s="66" t="n"/>
      <c r="BN88" s="66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52" t="n"/>
      <c r="BZ88" s="153" t="n"/>
      <c r="CA88" s="153" t="n"/>
      <c r="CB88" s="66" t="n"/>
      <c r="CC88" s="154" t="n"/>
      <c r="CD88" s="66" t="n"/>
      <c r="CE88" s="66" t="n"/>
      <c r="CF88" s="69" t="n"/>
      <c r="CG88" s="69" t="n"/>
      <c r="CH88" s="69" t="n"/>
      <c r="CI88" s="69" t="n"/>
      <c r="CJ88" s="69" t="n"/>
      <c r="CK88" s="69" t="n"/>
      <c r="CL88" s="69" t="n"/>
      <c r="CM88" s="17" t="n"/>
      <c r="CN88" s="17" t="n"/>
      <c r="CO88" s="38">
        <f>SUM(L88+M88+N88+BK88)/65+SUM(V88+W88)/44+SUM(AE88+AF88+AG88+AH88+AI88+BO88+BP88+BQ88+CF88+CG88)/45+SUM(AV88+AW88+BD88+BE88)/60</f>
        <v/>
      </c>
      <c r="CP88" s="38">
        <f>SUM(O88+P88+Q88+BL88+BM88+CB88+CC88)/65+SUM(X88+Y88)/44+SUM(AJ88+AK88+AM88+AN88+AO88+AP88+AQ88+BR88+BS88+BT88+BU88+BV88+CH88+CI88+CJ88+CK88)/45+SUM(AX88+AY88+AZ88+BA88+BF88+BG88+BH88)/60+SUM(AL88+BZ88)/50</f>
        <v/>
      </c>
      <c r="CQ88" s="38">
        <f>SUM(R88+S88+BN88+CD88+CE88)/65+SUM(AB88)/36+SUM(AR88+AS88+BW88+BX88+CL88+CM88)/40+SUM(BB88+BC88+BI88+BJ88)/60</f>
        <v/>
      </c>
      <c r="CR88" s="38">
        <f>SUM(Z88+AA88)/44</f>
        <v/>
      </c>
      <c r="CS88" s="38">
        <f>SUM(T88)/65+SUM(AC88+AD88)/40+SUM(AT88+AU88)/54</f>
        <v/>
      </c>
      <c r="CT88" s="38">
        <f>SUM(BY88+CN88)/45</f>
        <v/>
      </c>
      <c r="CU88" s="83">
        <f>SUM(U88)/75+SUM(CA88)/60</f>
        <v/>
      </c>
      <c r="CV88" s="157">
        <f>CV87+B88-L88</f>
        <v/>
      </c>
      <c r="CW88" s="155">
        <f>CW87+C88-M88</f>
        <v/>
      </c>
      <c r="CX88" s="155">
        <f>CX87+D88-N88</f>
        <v/>
      </c>
      <c r="CY88" s="155">
        <f>CY87+E88-O88</f>
        <v/>
      </c>
      <c r="CZ88" s="155">
        <f>CZ87+F88-P88</f>
        <v/>
      </c>
      <c r="DA88" s="155">
        <f>DA87+G88-Q88</f>
        <v/>
      </c>
      <c r="DB88" s="155">
        <f>DB87+H88-R88</f>
        <v/>
      </c>
      <c r="DC88" s="155">
        <f>DC87+I88-S88</f>
        <v/>
      </c>
      <c r="DD88" s="155">
        <f>DD87+J88-T88</f>
        <v/>
      </c>
      <c r="DE88" s="156" t="n"/>
    </row>
    <row r="89" ht="20.25" customHeight="1">
      <c r="A89" s="6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65" t="n"/>
      <c r="L89" s="63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52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52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50" t="n"/>
      <c r="AW89" s="50" t="n"/>
      <c r="AX89" s="50" t="n"/>
      <c r="AY89" s="50" t="n"/>
      <c r="AZ89" s="50" t="n"/>
      <c r="BA89" s="50" t="n"/>
      <c r="BB89" s="50" t="n"/>
      <c r="BC89" s="50" t="n"/>
      <c r="BD89" s="62" t="n"/>
      <c r="BE89" s="62" t="n"/>
      <c r="BF89" s="62" t="n"/>
      <c r="BG89" s="62" t="n"/>
      <c r="BH89" s="62" t="n"/>
      <c r="BI89" s="62" t="n"/>
      <c r="BJ89" s="62" t="n"/>
      <c r="BK89" s="66" t="n"/>
      <c r="BL89" s="66" t="n"/>
      <c r="BM89" s="66" t="n"/>
      <c r="BN89" s="66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52" t="n"/>
      <c r="BZ89" s="153" t="n"/>
      <c r="CA89" s="153" t="n"/>
      <c r="CB89" s="66" t="n"/>
      <c r="CC89" s="154" t="n"/>
      <c r="CD89" s="66" t="n"/>
      <c r="CE89" s="66" t="n"/>
      <c r="CF89" s="69" t="n"/>
      <c r="CG89" s="69" t="n"/>
      <c r="CH89" s="69" t="n"/>
      <c r="CI89" s="69" t="n"/>
      <c r="CJ89" s="69" t="n"/>
      <c r="CK89" s="69" t="n"/>
      <c r="CL89" s="69" t="n"/>
      <c r="CM89" s="17" t="n"/>
      <c r="CN89" s="17" t="n"/>
      <c r="CO89" s="38">
        <f>SUM(L89+M89+N89+BK89)/65+SUM(V89+W89)/44+SUM(AE89+AF89+AG89+AH89+AI89+BO89+BP89+BQ89+CF89+CG89)/45+SUM(AV89+AW89+BD89+BE89)/60</f>
        <v/>
      </c>
      <c r="CP89" s="38">
        <f>SUM(O89+P89+Q89+BL89+BM89+CB89+CC89)/65+SUM(X89+Y89)/44+SUM(AJ89+AK89+AM89+AN89+AO89+AP89+AQ89+BR89+BS89+BT89+BU89+BV89+CH89+CI89+CJ89+CK89)/45+SUM(AX89+AY89+AZ89+BA89+BF89+BG89+BH89)/60+SUM(AL89+BZ89)/50</f>
        <v/>
      </c>
      <c r="CQ89" s="38">
        <f>SUM(R89+S89+BN89+CD89+CE89)/65+SUM(AB89)/36+SUM(AR89+AS89+BW89+BX89+CL89+CM89)/40+SUM(BB89+BC89+BI89+BJ89)/60</f>
        <v/>
      </c>
      <c r="CR89" s="38">
        <f>SUM(Z89+AA89)/44</f>
        <v/>
      </c>
      <c r="CS89" s="38">
        <f>SUM(T89)/65+SUM(AC89+AD89)/40+SUM(AT89+AU89)/54</f>
        <v/>
      </c>
      <c r="CT89" s="38">
        <f>SUM(BY89+CN89)/45</f>
        <v/>
      </c>
      <c r="CU89" s="83">
        <f>SUM(U89)/75+SUM(CA89)/60</f>
        <v/>
      </c>
      <c r="CV89" s="155">
        <f>#REF!+B89-L89</f>
        <v/>
      </c>
      <c r="CW89" s="155">
        <f>CW88+C89-M89</f>
        <v/>
      </c>
      <c r="CX89" s="155">
        <f>CX88+D89-N89</f>
        <v/>
      </c>
      <c r="CY89" s="155">
        <f>CY88+E89-O89</f>
        <v/>
      </c>
      <c r="CZ89" s="155">
        <f>CZ88+F89-P89</f>
        <v/>
      </c>
      <c r="DA89" s="155">
        <f>DA88+G89-Q89</f>
        <v/>
      </c>
      <c r="DB89" s="155">
        <f>DB88+H89-R89</f>
        <v/>
      </c>
      <c r="DC89" s="155">
        <f>DC88+I89-S89</f>
        <v/>
      </c>
      <c r="DD89" s="155">
        <f>DD88+J89-T89</f>
        <v/>
      </c>
      <c r="DE89" s="156" t="n"/>
    </row>
    <row r="90" ht="20.25" customHeight="1">
      <c r="A90" s="6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65" t="n"/>
      <c r="L90" s="63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52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52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50" t="n"/>
      <c r="AW90" s="50" t="n"/>
      <c r="AX90" s="50" t="n"/>
      <c r="AY90" s="50" t="n"/>
      <c r="AZ90" s="50" t="n"/>
      <c r="BA90" s="50" t="n"/>
      <c r="BB90" s="50" t="n"/>
      <c r="BC90" s="50" t="n"/>
      <c r="BD90" s="62" t="n"/>
      <c r="BE90" s="62" t="n"/>
      <c r="BF90" s="62" t="n"/>
      <c r="BG90" s="62" t="n"/>
      <c r="BH90" s="62" t="n"/>
      <c r="BI90" s="62" t="n"/>
      <c r="BJ90" s="62" t="n"/>
      <c r="BK90" s="66" t="n"/>
      <c r="BL90" s="66" t="n"/>
      <c r="BM90" s="66" t="n"/>
      <c r="BN90" s="66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52" t="n"/>
      <c r="BZ90" s="153" t="n"/>
      <c r="CA90" s="153" t="n"/>
      <c r="CB90" s="66" t="n"/>
      <c r="CC90" s="154" t="n"/>
      <c r="CD90" s="66" t="n"/>
      <c r="CE90" s="66" t="n"/>
      <c r="CF90" s="69" t="n"/>
      <c r="CG90" s="69" t="n"/>
      <c r="CH90" s="69" t="n"/>
      <c r="CI90" s="69" t="n"/>
      <c r="CJ90" s="69" t="n"/>
      <c r="CK90" s="69" t="n"/>
      <c r="CL90" s="69" t="n"/>
      <c r="CM90" s="17" t="n"/>
      <c r="CN90" s="17" t="n"/>
      <c r="CO90" s="38">
        <f>SUM(L90+M90+N90+BK90)/65+SUM(V90+W90)/44+SUM(AE90+AF90+AG90+AH90+AI90+BO90+BP90+BQ90+CF90+CG90)/45+SUM(AV90+AW90+BD90+BE90)/60</f>
        <v/>
      </c>
      <c r="CP90" s="38">
        <f>SUM(O90+P90+Q90+BL90+BM90+CB90+CC90)/65+SUM(X90+Y90)/44+SUM(AJ90+AK90+AM90+AN90+AO90+AP90+AQ90+BR90+BS90+BT90+BU90+BV90+CH90+CI90+CJ90+CK90)/45+SUM(AX90+AY90+AZ90+BA90+BF90+BG90+BH90)/60+SUM(AL90+BZ90)/50</f>
        <v/>
      </c>
      <c r="CQ90" s="38">
        <f>SUM(R90+S90+BN90+CD90+CE90)/65+SUM(AB90)/36+SUM(AR90+AS90+BW90+BX90+CL90+CM90)/40+SUM(BB90+BC90+BI90+BJ90)/60</f>
        <v/>
      </c>
      <c r="CR90" s="38">
        <f>SUM(Z90+AA90)/44</f>
        <v/>
      </c>
      <c r="CS90" s="38">
        <f>SUM(T90)/65+SUM(AC90+AD90)/40+SUM(AT90+AU90)/54</f>
        <v/>
      </c>
      <c r="CT90" s="38">
        <f>SUM(BY90+CN90)/45</f>
        <v/>
      </c>
      <c r="CU90" s="83">
        <f>SUM(U90)/75+SUM(CA90)/60</f>
        <v/>
      </c>
      <c r="CV90" s="155">
        <f>#REF!+B90-L90</f>
        <v/>
      </c>
      <c r="CW90" s="155">
        <f>CW89+C90-M90</f>
        <v/>
      </c>
      <c r="CX90" s="155">
        <f>CX89+D90-N90</f>
        <v/>
      </c>
      <c r="CY90" s="155">
        <f>CY89+E90-O90</f>
        <v/>
      </c>
      <c r="CZ90" s="155">
        <f>CZ89+F90-P90</f>
        <v/>
      </c>
      <c r="DA90" s="155">
        <f>DA89+G90-Q90</f>
        <v/>
      </c>
      <c r="DB90" s="155">
        <f>DB89+H90-R90</f>
        <v/>
      </c>
      <c r="DC90" s="155">
        <f>DC89+I90-S90</f>
        <v/>
      </c>
      <c r="DD90" s="155">
        <f>DD89+J90-T90</f>
        <v/>
      </c>
      <c r="DE90" s="156" t="n"/>
    </row>
    <row r="91" ht="20.25" customHeight="1">
      <c r="A91" s="6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65" t="n"/>
      <c r="L91" s="63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52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52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50" t="n"/>
      <c r="AW91" s="50" t="n"/>
      <c r="AX91" s="50" t="n"/>
      <c r="AY91" s="50" t="n"/>
      <c r="AZ91" s="50" t="n"/>
      <c r="BA91" s="50" t="n"/>
      <c r="BB91" s="50" t="n"/>
      <c r="BC91" s="50" t="n"/>
      <c r="BD91" s="62" t="n"/>
      <c r="BE91" s="62" t="n"/>
      <c r="BF91" s="62" t="n"/>
      <c r="BG91" s="62" t="n"/>
      <c r="BH91" s="62" t="n"/>
      <c r="BI91" s="62" t="n"/>
      <c r="BJ91" s="62" t="n"/>
      <c r="BK91" s="66" t="n"/>
      <c r="BL91" s="66" t="n"/>
      <c r="BM91" s="66" t="n"/>
      <c r="BN91" s="66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52" t="n"/>
      <c r="BZ91" s="153" t="n"/>
      <c r="CA91" s="153" t="n"/>
      <c r="CB91" s="66" t="n"/>
      <c r="CC91" s="154" t="n"/>
      <c r="CD91" s="66" t="n"/>
      <c r="CE91" s="66" t="n"/>
      <c r="CF91" s="69" t="n"/>
      <c r="CG91" s="69" t="n"/>
      <c r="CH91" s="69" t="n"/>
      <c r="CI91" s="69" t="n"/>
      <c r="CJ91" s="69" t="n"/>
      <c r="CK91" s="69" t="n"/>
      <c r="CL91" s="69" t="n"/>
      <c r="CM91" s="17" t="n"/>
      <c r="CN91" s="17" t="n"/>
      <c r="CO91" s="38">
        <f>SUM(L91+M91+N91+BK91)/65+SUM(V91+W91)/44+SUM(AE91+AF91+AG91+AH91+AI91+BO91+BP91+BQ91+CF91+CG91)/45+SUM(AV91+AW91+BD91+BE91)/60</f>
        <v/>
      </c>
      <c r="CP91" s="38">
        <f>SUM(O91+P91+Q91+BL91+BM91+CB91+CC91)/65+SUM(X91+Y91)/44+SUM(AJ91+AK91+AM91+AN91+AO91+AP91+AQ91+BR91+BS91+BT91+BU91+BV91+CH91+CI91+CJ91+CK91)/45+SUM(AX91+AY91+AZ91+BA91+BF91+BG91+BH91)/60+SUM(AL91+BZ91)/50</f>
        <v/>
      </c>
      <c r="CQ91" s="38">
        <f>SUM(R91+S91+BN91+CD91+CE91)/65+SUM(AB91)/36+SUM(AR91+AS91+BW91+BX91+CL91+CM91)/40+SUM(BB91+BC91+BI91+BJ91)/60</f>
        <v/>
      </c>
      <c r="CR91" s="38">
        <f>SUM(Z91+AA91)/44</f>
        <v/>
      </c>
      <c r="CS91" s="38">
        <f>SUM(T91)/65+SUM(AC91+AD91)/40+SUM(AT91+AU91)/54</f>
        <v/>
      </c>
      <c r="CT91" s="38">
        <f>SUM(BY91+CN91)/45</f>
        <v/>
      </c>
      <c r="CU91" s="83">
        <f>SUM(U91)/75+SUM(CA91)/60</f>
        <v/>
      </c>
      <c r="CV91" s="155">
        <f>#REF!+B91-L91</f>
        <v/>
      </c>
      <c r="CW91" s="155">
        <f>CW90+C91-M91</f>
        <v/>
      </c>
      <c r="CX91" s="155">
        <f>CX90+D91-N91</f>
        <v/>
      </c>
      <c r="CY91" s="155">
        <f>CY90+E91-O91</f>
        <v/>
      </c>
      <c r="CZ91" s="155">
        <f>CZ90+F91-P91</f>
        <v/>
      </c>
      <c r="DA91" s="155">
        <f>DA90+G91-Q91</f>
        <v/>
      </c>
      <c r="DB91" s="155">
        <f>DB90+H91-R91</f>
        <v/>
      </c>
      <c r="DC91" s="155">
        <f>DC90+I91-S91</f>
        <v/>
      </c>
      <c r="DD91" s="155">
        <f>DD90+J91-T91</f>
        <v/>
      </c>
      <c r="DE91" s="156" t="n"/>
    </row>
    <row r="92" ht="20.25" customHeight="1">
      <c r="A92" s="6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65" t="n"/>
      <c r="L92" s="63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52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52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50" t="n"/>
      <c r="AW92" s="50" t="n"/>
      <c r="AX92" s="50" t="n"/>
      <c r="AY92" s="50" t="n"/>
      <c r="AZ92" s="50" t="n"/>
      <c r="BA92" s="50" t="n"/>
      <c r="BB92" s="50" t="n"/>
      <c r="BC92" s="50" t="n"/>
      <c r="BD92" s="62" t="n"/>
      <c r="BE92" s="62" t="n"/>
      <c r="BF92" s="62" t="n"/>
      <c r="BG92" s="62" t="n"/>
      <c r="BH92" s="62" t="n"/>
      <c r="BI92" s="62" t="n"/>
      <c r="BJ92" s="62" t="n"/>
      <c r="BK92" s="66" t="n"/>
      <c r="BL92" s="66" t="n"/>
      <c r="BM92" s="66" t="n"/>
      <c r="BN92" s="66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52" t="n"/>
      <c r="BZ92" s="153" t="n"/>
      <c r="CA92" s="153" t="n"/>
      <c r="CB92" s="66" t="n"/>
      <c r="CC92" s="154" t="n"/>
      <c r="CD92" s="66" t="n"/>
      <c r="CE92" s="66" t="n"/>
      <c r="CF92" s="69" t="n"/>
      <c r="CG92" s="69" t="n"/>
      <c r="CH92" s="69" t="n"/>
      <c r="CI92" s="69" t="n"/>
      <c r="CJ92" s="69" t="n"/>
      <c r="CK92" s="69" t="n"/>
      <c r="CL92" s="69" t="n"/>
      <c r="CM92" s="17" t="n"/>
      <c r="CN92" s="17" t="n"/>
      <c r="CO92" s="38">
        <f>SUM(L92+M92+N92+BK92)/65+SUM(V92+W92)/44+SUM(AE92+AF92+AG92+AH92+AI92+BO92+BP92+BQ92+CF92+CG92)/45+SUM(AV92+AW92+BD92+BE92)/60</f>
        <v/>
      </c>
      <c r="CP92" s="38">
        <f>SUM(O92+P92+Q92+BL92+BM92+CB92+CC92)/65+SUM(X92+Y92)/44+SUM(AJ92+AK92+AM92+AN92+AO92+AP92+AQ92+BR92+BS92+BT92+BU92+BV92+CH92+CI92+CJ92+CK92)/45+SUM(AX92+AY92+AZ92+BA92+BF92+BG92+BH92)/60+SUM(AL92+BZ92)/50</f>
        <v/>
      </c>
      <c r="CQ92" s="38">
        <f>SUM(R92+S92+BN92+CD92+CE92)/65+SUM(AB92)/36+SUM(AR92+AS92+BW92+BX92+CL92+CM92)/40+SUM(BB92+BC92+BI92+BJ92)/60</f>
        <v/>
      </c>
      <c r="CR92" s="38">
        <f>SUM(Z92+AA92)/44</f>
        <v/>
      </c>
      <c r="CS92" s="38">
        <f>SUM(T92)/65+SUM(AC92+AD92)/40+SUM(AT92+AU92)/54</f>
        <v/>
      </c>
      <c r="CT92" s="38">
        <f>SUM(BY92+CN92)/45</f>
        <v/>
      </c>
      <c r="CU92" s="83">
        <f>SUM(U92)/75+SUM(CA92)/60</f>
        <v/>
      </c>
      <c r="CV92" s="155">
        <f>#REF!+B92-L92</f>
        <v/>
      </c>
      <c r="CW92" s="155">
        <f>CW91+C92-M92</f>
        <v/>
      </c>
      <c r="CX92" s="155">
        <f>CX91+D92-N92</f>
        <v/>
      </c>
      <c r="CY92" s="155">
        <f>CY91+E92-O92</f>
        <v/>
      </c>
      <c r="CZ92" s="155">
        <f>CZ91+F92-P92</f>
        <v/>
      </c>
      <c r="DA92" s="155">
        <f>DA91+G92-Q92</f>
        <v/>
      </c>
      <c r="DB92" s="155">
        <f>DB91+H92-R92</f>
        <v/>
      </c>
      <c r="DC92" s="155">
        <f>DC91+I92-S92</f>
        <v/>
      </c>
      <c r="DD92" s="155">
        <f>DD91+J92-T92</f>
        <v/>
      </c>
      <c r="DE92" s="156" t="n"/>
    </row>
    <row r="93" ht="20.25" customHeight="1">
      <c r="A93" s="6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65" t="n"/>
      <c r="L93" s="63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52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52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50" t="n"/>
      <c r="AW93" s="50" t="n"/>
      <c r="AX93" s="50" t="n"/>
      <c r="AY93" s="50" t="n"/>
      <c r="AZ93" s="50" t="n"/>
      <c r="BA93" s="50" t="n"/>
      <c r="BB93" s="50" t="n"/>
      <c r="BC93" s="50" t="n"/>
      <c r="BD93" s="62" t="n"/>
      <c r="BE93" s="62" t="n"/>
      <c r="BF93" s="62" t="n"/>
      <c r="BG93" s="62" t="n"/>
      <c r="BH93" s="62" t="n"/>
      <c r="BI93" s="62" t="n"/>
      <c r="BJ93" s="62" t="n"/>
      <c r="BK93" s="66" t="n"/>
      <c r="BL93" s="66" t="n"/>
      <c r="BM93" s="66" t="n"/>
      <c r="BN93" s="66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52" t="n"/>
      <c r="BZ93" s="153" t="n"/>
      <c r="CA93" s="153" t="n"/>
      <c r="CB93" s="66" t="n"/>
      <c r="CC93" s="154" t="n"/>
      <c r="CD93" s="66" t="n"/>
      <c r="CE93" s="66" t="n"/>
      <c r="CF93" s="69" t="n"/>
      <c r="CG93" s="69" t="n"/>
      <c r="CH93" s="69" t="n"/>
      <c r="CI93" s="69" t="n"/>
      <c r="CJ93" s="69" t="n"/>
      <c r="CK93" s="69" t="n"/>
      <c r="CL93" s="69" t="n"/>
      <c r="CM93" s="17" t="n"/>
      <c r="CN93" s="17" t="n"/>
      <c r="CO93" s="38">
        <f>SUM(L93+M93+N93+BK93)/65+SUM(V93+W93)/44+SUM(AE93+AF93+AG93+AH93+AI93+BO93+BP93+BQ93+CF93+CG93)/45+SUM(AV93+AW93+BD93+BE93)/60</f>
        <v/>
      </c>
      <c r="CP93" s="38">
        <f>SUM(O93+P93+Q93+BL93+BM93+CB93+CC93)/65+SUM(X93+Y93)/44+SUM(AJ93+AK93+AM93+AN93+AO93+AP93+AQ93+BR93+BS93+BT93+BU93+BV93+CH93+CI93+CJ93+CK93)/45+SUM(AX93+AY93+AZ93+BA93+BF93+BG93+BH93)/60+SUM(AL93+BZ93)/50</f>
        <v/>
      </c>
      <c r="CQ93" s="38">
        <f>SUM(R93+S93+BN93+CD93+CE93)/65+SUM(AB93)/36+SUM(AR93+AS93+BW93+BX93+CL93+CM93)/40+SUM(BB93+BC93+BI93+BJ93)/60</f>
        <v/>
      </c>
      <c r="CR93" s="38">
        <f>SUM(Z93+AA93)/44</f>
        <v/>
      </c>
      <c r="CS93" s="38">
        <f>SUM(T93)/65+SUM(AC93+AD93)/40+SUM(AT93+AU93)/54</f>
        <v/>
      </c>
      <c r="CT93" s="38">
        <f>SUM(BY93+CN93)/45</f>
        <v/>
      </c>
      <c r="CU93" s="83">
        <f>SUM(U93)/75+SUM(CA93)/60</f>
        <v/>
      </c>
      <c r="CV93" s="155">
        <f>#REF!+B93-L93</f>
        <v/>
      </c>
      <c r="CW93" s="155">
        <f>CW92+C93-M93</f>
        <v/>
      </c>
      <c r="CX93" s="155">
        <f>CX92+D93-N93</f>
        <v/>
      </c>
      <c r="CY93" s="155">
        <f>CY92+E93-O93</f>
        <v/>
      </c>
      <c r="CZ93" s="155">
        <f>CZ92+F93-P93</f>
        <v/>
      </c>
      <c r="DA93" s="155">
        <f>DA92+G93-Q93</f>
        <v/>
      </c>
      <c r="DB93" s="155">
        <f>DB92+H93-R93</f>
        <v/>
      </c>
      <c r="DC93" s="155">
        <f>DC92+I93-S93</f>
        <v/>
      </c>
      <c r="DD93" s="155">
        <f>DD92+J93-T93</f>
        <v/>
      </c>
      <c r="DE93" s="156" t="n"/>
    </row>
    <row r="94" ht="20.25" customHeight="1">
      <c r="A94" s="6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65" t="n"/>
      <c r="L94" s="63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52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52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50" t="n"/>
      <c r="AW94" s="50" t="n"/>
      <c r="AX94" s="50" t="n"/>
      <c r="AY94" s="50" t="n"/>
      <c r="AZ94" s="50" t="n"/>
      <c r="BA94" s="50" t="n"/>
      <c r="BB94" s="50" t="n"/>
      <c r="BC94" s="50" t="n"/>
      <c r="BD94" s="62" t="n"/>
      <c r="BE94" s="62" t="n"/>
      <c r="BF94" s="62" t="n"/>
      <c r="BG94" s="62" t="n"/>
      <c r="BH94" s="62" t="n"/>
      <c r="BI94" s="62" t="n"/>
      <c r="BJ94" s="62" t="n"/>
      <c r="BK94" s="66" t="n"/>
      <c r="BL94" s="66" t="n"/>
      <c r="BM94" s="66" t="n"/>
      <c r="BN94" s="66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52" t="n"/>
      <c r="BZ94" s="153" t="n"/>
      <c r="CA94" s="153" t="n"/>
      <c r="CB94" s="66" t="n"/>
      <c r="CC94" s="154" t="n"/>
      <c r="CD94" s="66" t="n"/>
      <c r="CE94" s="66" t="n"/>
      <c r="CF94" s="69" t="n"/>
      <c r="CG94" s="69" t="n"/>
      <c r="CH94" s="69" t="n"/>
      <c r="CI94" s="69" t="n"/>
      <c r="CJ94" s="69" t="n"/>
      <c r="CK94" s="69" t="n"/>
      <c r="CL94" s="69" t="n"/>
      <c r="CM94" s="17" t="n"/>
      <c r="CN94" s="17" t="n"/>
      <c r="CO94" s="38">
        <f>SUM(L94+M94+N94+BK94)/65+SUM(V94+W94)/44+SUM(AE94+AF94+AG94+AH94+AI94+BO94+BP94+BQ94+CF94+CG94)/45+SUM(AV94+AW94+BD94+BE94)/60</f>
        <v/>
      </c>
      <c r="CP94" s="38">
        <f>SUM(O94+P94+Q94+BL94+BM94+CB94+CC94)/65+SUM(X94+Y94)/44+SUM(AJ94+AK94+AM94+AN94+AO94+AP94+AQ94+BR94+BS94+BT94+BU94+BV94+CH94+CI94+CJ94+CK94)/45+SUM(AX94+AY94+AZ94+BA94+BF94+BG94+BH94)/60+SUM(AL94+BZ94)/50</f>
        <v/>
      </c>
      <c r="CQ94" s="38">
        <f>SUM(R94+S94+BN94+CD94+CE94)/65+SUM(AB94)/36+SUM(AR94+AS94+BW94+BX94+CL94+CM94)/40+SUM(BB94+BC94+BI94+BJ94)/60</f>
        <v/>
      </c>
      <c r="CR94" s="38">
        <f>SUM(Z94+AA94)/44</f>
        <v/>
      </c>
      <c r="CS94" s="38">
        <f>SUM(T94)/65+SUM(AC94+AD94)/40+SUM(AT94+AU94)/54</f>
        <v/>
      </c>
      <c r="CT94" s="38">
        <f>SUM(BY94+CN94)/45</f>
        <v/>
      </c>
      <c r="CU94" s="83">
        <f>SUM(U94)/75+SUM(CA94)/60</f>
        <v/>
      </c>
      <c r="CV94" s="155">
        <f>CV91+B94-L94</f>
        <v/>
      </c>
      <c r="CW94" s="155">
        <f>CW93+C94-M94</f>
        <v/>
      </c>
      <c r="CX94" s="155">
        <f>CX93+D94-N94</f>
        <v/>
      </c>
      <c r="CY94" s="155">
        <f>CY93+E94-O94</f>
        <v/>
      </c>
      <c r="CZ94" s="155">
        <f>CZ93+F94-P94</f>
        <v/>
      </c>
      <c r="DA94" s="155">
        <f>DA93+G94-Q94</f>
        <v/>
      </c>
      <c r="DB94" s="155">
        <f>DB93+H94-R94</f>
        <v/>
      </c>
      <c r="DC94" s="155">
        <f>DC93+I94-S94</f>
        <v/>
      </c>
      <c r="DD94" s="155">
        <f>DD93+J94-T94</f>
        <v/>
      </c>
      <c r="DE94" s="156" t="n"/>
    </row>
    <row r="95" ht="20.25" customHeight="1">
      <c r="A95" s="61" t="n"/>
      <c r="B95" s="152" t="n"/>
      <c r="C95" s="152" t="n"/>
      <c r="D95" s="152" t="n"/>
      <c r="E95" s="152" t="n"/>
      <c r="F95" s="152" t="n"/>
      <c r="G95" s="152" t="n"/>
      <c r="H95" s="152" t="n"/>
      <c r="I95" s="152" t="n"/>
      <c r="J95" s="152" t="n"/>
      <c r="K95" s="65" t="n"/>
      <c r="L95" s="63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52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52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50" t="n"/>
      <c r="AW95" s="50" t="n"/>
      <c r="AX95" s="50" t="n"/>
      <c r="AY95" s="50" t="n"/>
      <c r="AZ95" s="50" t="n"/>
      <c r="BA95" s="50" t="n"/>
      <c r="BB95" s="50" t="n"/>
      <c r="BC95" s="50" t="n"/>
      <c r="BD95" s="62" t="n"/>
      <c r="BE95" s="62" t="n"/>
      <c r="BF95" s="62" t="n"/>
      <c r="BG95" s="62" t="n"/>
      <c r="BH95" s="62" t="n"/>
      <c r="BI95" s="62" t="n"/>
      <c r="BJ95" s="62" t="n"/>
      <c r="BK95" s="66" t="n"/>
      <c r="BL95" s="66" t="n"/>
      <c r="BM95" s="66" t="n"/>
      <c r="BN95" s="66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52" t="n"/>
      <c r="BZ95" s="153" t="n"/>
      <c r="CA95" s="153" t="n"/>
      <c r="CB95" s="66" t="n"/>
      <c r="CC95" s="154" t="n"/>
      <c r="CD95" s="66" t="n"/>
      <c r="CE95" s="66" t="n"/>
      <c r="CF95" s="69" t="n"/>
      <c r="CG95" s="69" t="n"/>
      <c r="CH95" s="69" t="n"/>
      <c r="CI95" s="69" t="n"/>
      <c r="CJ95" s="69" t="n"/>
      <c r="CK95" s="69" t="n"/>
      <c r="CL95" s="69" t="n"/>
      <c r="CM95" s="17" t="n"/>
      <c r="CN95" s="17" t="n"/>
      <c r="CO95" s="38">
        <f>SUM(L95+M95+N95+BK95)/65+SUM(V95+W95)/44+SUM(AE95+AF95+AG95+AH95+AI95+BO95+BP95+BQ95+CF95+CG95)/45+SUM(AV95+AW95+BD95+BE95)/60</f>
        <v/>
      </c>
      <c r="CP95" s="38">
        <f>SUM(O95+P95+Q95+BL95+BM95+CB95+CC95)/65+SUM(X95+Y95)/44+SUM(AJ95+AK95+AM95+AN95+AO95+AP95+AQ95+BR95+BS95+BT95+BU95+BV95+CH95+CI95+CJ95+CK95)/45+SUM(AX95+AY95+AZ95+BA95+BF95+BG95+BH95)/60+SUM(AL95+BZ95)/50</f>
        <v/>
      </c>
      <c r="CQ95" s="38">
        <f>SUM(R95+S95+BN95+CD95+CE95)/65+SUM(AB95)/36+SUM(AR95+AS95+BW95+BX95+CL95+CM95)/40+SUM(BB95+BC95+BI95+BJ95)/60</f>
        <v/>
      </c>
      <c r="CR95" s="38">
        <f>SUM(Z95+AA95)/44</f>
        <v/>
      </c>
      <c r="CS95" s="38">
        <f>SUM(T95)/65+SUM(AC95+AD95)/40+SUM(AT95+AU95)/54</f>
        <v/>
      </c>
      <c r="CT95" s="38">
        <f>SUM(BY95+CN95)/45</f>
        <v/>
      </c>
      <c r="CU95" s="83">
        <f>SUM(U95)/75+SUM(CA95)/60</f>
        <v/>
      </c>
      <c r="CV95" s="157">
        <f>CV94+B95-L95</f>
        <v/>
      </c>
      <c r="CW95" s="155">
        <f>CW94+C95-M95</f>
        <v/>
      </c>
      <c r="CX95" s="155">
        <f>CX94+D95-N95</f>
        <v/>
      </c>
      <c r="CY95" s="155">
        <f>CY94+E95-O95</f>
        <v/>
      </c>
      <c r="CZ95" s="155">
        <f>CZ94+F95-P95</f>
        <v/>
      </c>
      <c r="DA95" s="155">
        <f>DA94+G95-Q95</f>
        <v/>
      </c>
      <c r="DB95" s="155">
        <f>DB94+H95-R95</f>
        <v/>
      </c>
      <c r="DC95" s="155">
        <f>DC94+I95-S95</f>
        <v/>
      </c>
      <c r="DD95" s="155">
        <f>DD94+J95-T95</f>
        <v/>
      </c>
      <c r="DE95" s="156" t="n"/>
    </row>
    <row r="96" ht="20.25" customHeight="1">
      <c r="A96" s="6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65" t="n"/>
      <c r="L96" s="63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52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52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50" t="n"/>
      <c r="AW96" s="50" t="n"/>
      <c r="AX96" s="50" t="n"/>
      <c r="AY96" s="50" t="n"/>
      <c r="AZ96" s="50" t="n"/>
      <c r="BA96" s="50" t="n"/>
      <c r="BB96" s="50" t="n"/>
      <c r="BC96" s="50" t="n"/>
      <c r="BD96" s="62" t="n"/>
      <c r="BE96" s="62" t="n"/>
      <c r="BF96" s="62" t="n"/>
      <c r="BG96" s="62" t="n"/>
      <c r="BH96" s="62" t="n"/>
      <c r="BI96" s="62" t="n"/>
      <c r="BJ96" s="62" t="n"/>
      <c r="BK96" s="66" t="n"/>
      <c r="BL96" s="66" t="n"/>
      <c r="BM96" s="66" t="n"/>
      <c r="BN96" s="66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52" t="n"/>
      <c r="BZ96" s="153" t="n"/>
      <c r="CA96" s="153" t="n"/>
      <c r="CB96" s="66" t="n"/>
      <c r="CC96" s="154" t="n"/>
      <c r="CD96" s="66" t="n"/>
      <c r="CE96" s="66" t="n"/>
      <c r="CF96" s="69" t="n"/>
      <c r="CG96" s="69" t="n"/>
      <c r="CH96" s="69" t="n"/>
      <c r="CI96" s="69" t="n"/>
      <c r="CJ96" s="69" t="n"/>
      <c r="CK96" s="69" t="n"/>
      <c r="CL96" s="69" t="n"/>
      <c r="CM96" s="17" t="n"/>
      <c r="CN96" s="17" t="n"/>
      <c r="CO96" s="38">
        <f>SUM(L96+M96+N96+BK96)/65+SUM(V96+W96)/44+SUM(AE96+AF96+AG96+AH96+AI96+BO96+BP96+BQ96+CF96+CG96)/45+SUM(AV96+AW96+BD96+BE96)/60</f>
        <v/>
      </c>
      <c r="CP96" s="38">
        <f>SUM(O96+P96+Q96+BL96+BM96+CB96+CC96)/65+SUM(X96+Y96)/44+SUM(AJ96+AK96+AM96+AN96+AO96+AP96+AQ96+BR96+BS96+BT96+BU96+BV96+CH96+CI96+CJ96+CK96)/45+SUM(AX96+AY96+AZ96+BA96+BF96+BG96+BH96)/60+SUM(AL96+BZ96)/50</f>
        <v/>
      </c>
      <c r="CQ96" s="38">
        <f>SUM(R96+S96+BN96+CD96+CE96)/65+SUM(AB96)/36+SUM(AR96+AS96+BW96+BX96+CL96+CM96)/40+SUM(BB96+BC96+BI96+BJ96)/60</f>
        <v/>
      </c>
      <c r="CR96" s="38">
        <f>SUM(Z96+AA96)/44</f>
        <v/>
      </c>
      <c r="CS96" s="38">
        <f>SUM(T96)/65+SUM(AC96+AD96)/40+SUM(AT96+AU96)/54</f>
        <v/>
      </c>
      <c r="CT96" s="38">
        <f>SUM(BY96+CN96)/45</f>
        <v/>
      </c>
      <c r="CU96" s="83">
        <f>SUM(U96)/75+SUM(CA96)/60</f>
        <v/>
      </c>
      <c r="CV96" s="155">
        <f>#REF!+B96-L96</f>
        <v/>
      </c>
      <c r="CW96" s="155">
        <f>CW95+C96-M96</f>
        <v/>
      </c>
      <c r="CX96" s="155">
        <f>CX95+D96-N96</f>
        <v/>
      </c>
      <c r="CY96" s="155">
        <f>CY95+E96-O96</f>
        <v/>
      </c>
      <c r="CZ96" s="155">
        <f>CZ95+F96-P96</f>
        <v/>
      </c>
      <c r="DA96" s="155">
        <f>DA95+G96-Q96</f>
        <v/>
      </c>
      <c r="DB96" s="155">
        <f>DB95+H96-R96</f>
        <v/>
      </c>
      <c r="DC96" s="155">
        <f>DC95+I96-S96</f>
        <v/>
      </c>
      <c r="DD96" s="155">
        <f>DD95+J96-T96</f>
        <v/>
      </c>
      <c r="DE96" s="156" t="n"/>
    </row>
    <row r="97" ht="20.25" customHeight="1">
      <c r="A97" s="6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65" t="n"/>
      <c r="L97" s="63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52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52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50" t="n"/>
      <c r="AW97" s="50" t="n"/>
      <c r="AX97" s="50" t="n"/>
      <c r="AY97" s="50" t="n"/>
      <c r="AZ97" s="50" t="n"/>
      <c r="BA97" s="50" t="n"/>
      <c r="BB97" s="50" t="n"/>
      <c r="BC97" s="50" t="n"/>
      <c r="BD97" s="62" t="n"/>
      <c r="BE97" s="62" t="n"/>
      <c r="BF97" s="62" t="n"/>
      <c r="BG97" s="62" t="n"/>
      <c r="BH97" s="62" t="n"/>
      <c r="BI97" s="62" t="n"/>
      <c r="BJ97" s="62" t="n"/>
      <c r="BK97" s="66" t="n"/>
      <c r="BL97" s="66" t="n"/>
      <c r="BM97" s="66" t="n"/>
      <c r="BN97" s="66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52" t="n"/>
      <c r="BZ97" s="153" t="n"/>
      <c r="CA97" s="153" t="n"/>
      <c r="CB97" s="66" t="n"/>
      <c r="CC97" s="154" t="n"/>
      <c r="CD97" s="66" t="n"/>
      <c r="CE97" s="66" t="n"/>
      <c r="CF97" s="69" t="n"/>
      <c r="CG97" s="69" t="n"/>
      <c r="CH97" s="69" t="n"/>
      <c r="CI97" s="69" t="n"/>
      <c r="CJ97" s="69" t="n"/>
      <c r="CK97" s="69" t="n"/>
      <c r="CL97" s="69" t="n"/>
      <c r="CM97" s="17" t="n"/>
      <c r="CN97" s="17" t="n"/>
      <c r="CO97" s="38">
        <f>SUM(L97+M97+N97+BK97)/65+SUM(V97+W97)/44+SUM(AE97+AF97+AG97+AH97+AI97+BO97+BP97+BQ97+CF97+CG97)/45+SUM(AV97+AW97+BD97+BE97)/60</f>
        <v/>
      </c>
      <c r="CP97" s="38">
        <f>SUM(O97+P97+Q97+BL97+BM97+CB97+CC97)/65+SUM(X97+Y97)/44+SUM(AJ97+AK97+AM97+AN97+AO97+AP97+AQ97+BR97+BS97+BT97+BU97+BV97+CH97+CI97+CJ97+CK97)/45+SUM(AX97+AY97+AZ97+BA97+BF97+BG97+BH97)/60+SUM(AL97+BZ97)/50</f>
        <v/>
      </c>
      <c r="CQ97" s="38">
        <f>SUM(R97+S97+BN97+CD97+CE97)/65+SUM(AB97)/36+SUM(AR97+AS97+BW97+BX97+CL97+CM97)/40+SUM(BB97+BC97+BI97+BJ97)/60</f>
        <v/>
      </c>
      <c r="CR97" s="38">
        <f>SUM(Z97+AA97)/44</f>
        <v/>
      </c>
      <c r="CS97" s="38">
        <f>SUM(T97)/65+SUM(AC97+AD97)/40+SUM(AT97+AU97)/54</f>
        <v/>
      </c>
      <c r="CT97" s="38">
        <f>SUM(BY97+CN97)/45</f>
        <v/>
      </c>
      <c r="CU97" s="83">
        <f>SUM(U97)/75+SUM(CA97)/60</f>
        <v/>
      </c>
      <c r="CV97" s="155">
        <f>#REF!+B97-L97</f>
        <v/>
      </c>
      <c r="CW97" s="155">
        <f>CW96+C97-M97</f>
        <v/>
      </c>
      <c r="CX97" s="155">
        <f>CX96+D97-N97</f>
        <v/>
      </c>
      <c r="CY97" s="155">
        <f>CY96+E97-O97</f>
        <v/>
      </c>
      <c r="CZ97" s="155">
        <f>CZ96+F97-P97</f>
        <v/>
      </c>
      <c r="DA97" s="155">
        <f>DA96+G97-Q97</f>
        <v/>
      </c>
      <c r="DB97" s="155">
        <f>DB96+H97-R97</f>
        <v/>
      </c>
      <c r="DC97" s="155">
        <f>DC96+I97-S97</f>
        <v/>
      </c>
      <c r="DD97" s="155">
        <f>DD96+J97-T97</f>
        <v/>
      </c>
      <c r="DE97" s="156" t="n"/>
    </row>
    <row r="98" ht="20.25" customHeight="1">
      <c r="A98" s="6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65" t="n"/>
      <c r="L98" s="63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52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52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50" t="n"/>
      <c r="AW98" s="50" t="n"/>
      <c r="AX98" s="50" t="n"/>
      <c r="AY98" s="50" t="n"/>
      <c r="AZ98" s="50" t="n"/>
      <c r="BA98" s="50" t="n"/>
      <c r="BB98" s="50" t="n"/>
      <c r="BC98" s="50" t="n"/>
      <c r="BD98" s="62" t="n"/>
      <c r="BE98" s="62" t="n"/>
      <c r="BF98" s="62" t="n"/>
      <c r="BG98" s="62" t="n"/>
      <c r="BH98" s="62" t="n"/>
      <c r="BI98" s="62" t="n"/>
      <c r="BJ98" s="62" t="n"/>
      <c r="BK98" s="66" t="n"/>
      <c r="BL98" s="66" t="n"/>
      <c r="BM98" s="66" t="n"/>
      <c r="BN98" s="66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52" t="n"/>
      <c r="BZ98" s="153" t="n"/>
      <c r="CA98" s="153" t="n"/>
      <c r="CB98" s="66" t="n"/>
      <c r="CC98" s="154" t="n"/>
      <c r="CD98" s="66" t="n"/>
      <c r="CE98" s="66" t="n"/>
      <c r="CF98" s="69" t="n"/>
      <c r="CG98" s="69" t="n"/>
      <c r="CH98" s="69" t="n"/>
      <c r="CI98" s="69" t="n"/>
      <c r="CJ98" s="69" t="n"/>
      <c r="CK98" s="69" t="n"/>
      <c r="CL98" s="69" t="n"/>
      <c r="CM98" s="17" t="n"/>
      <c r="CN98" s="17" t="n"/>
      <c r="CO98" s="38">
        <f>SUM(L98+M98+N98+BK98)/65+SUM(V98+W98)/44+SUM(AE98+AF98+AG98+AH98+AI98+BO98+BP98+BQ98+CF98+CG98)/45+SUM(AV98+AW98+BD98+BE98)/60</f>
        <v/>
      </c>
      <c r="CP98" s="38">
        <f>SUM(O98+P98+Q98+BL98+BM98+CB98+CC98)/65+SUM(X98+Y98)/44+SUM(AJ98+AK98+AM98+AN98+AO98+AP98+AQ98+BR98+BS98+BT98+BU98+BV98+CH98+CI98+CJ98+CK98)/45+SUM(AX98+AY98+AZ98+BA98+BF98+BG98+BH98)/60+SUM(AL98+BZ98)/50</f>
        <v/>
      </c>
      <c r="CQ98" s="38">
        <f>SUM(R98+S98+BN98+CD98+CE98)/65+SUM(AB98)/36+SUM(AR98+AS98+BW98+BX98+CL98+CM98)/40+SUM(BB98+BC98+BI98+BJ98)/60</f>
        <v/>
      </c>
      <c r="CR98" s="38">
        <f>SUM(Z98+AA98)/44</f>
        <v/>
      </c>
      <c r="CS98" s="38">
        <f>SUM(T98)/65+SUM(AC98+AD98)/40+SUM(AT98+AU98)/54</f>
        <v/>
      </c>
      <c r="CT98" s="38">
        <f>SUM(BY98+CN98)/45</f>
        <v/>
      </c>
      <c r="CU98" s="83">
        <f>SUM(U98)/75+SUM(CA98)/60</f>
        <v/>
      </c>
      <c r="CV98" s="155">
        <f>#REF!+B98-L98</f>
        <v/>
      </c>
      <c r="CW98" s="155">
        <f>CW97+C98-M98</f>
        <v/>
      </c>
      <c r="CX98" s="155">
        <f>CX97+D98-N98</f>
        <v/>
      </c>
      <c r="CY98" s="155">
        <f>CY97+E98-O98</f>
        <v/>
      </c>
      <c r="CZ98" s="155">
        <f>CZ97+F98-P98</f>
        <v/>
      </c>
      <c r="DA98" s="155">
        <f>DA97+G98-Q98</f>
        <v/>
      </c>
      <c r="DB98" s="155">
        <f>DB97+H98-R98</f>
        <v/>
      </c>
      <c r="DC98" s="155">
        <f>DC97+I98-S98</f>
        <v/>
      </c>
      <c r="DD98" s="155">
        <f>DD97+J98-T98</f>
        <v/>
      </c>
      <c r="DE98" s="156" t="n"/>
    </row>
    <row r="99" ht="20.25" customHeight="1">
      <c r="A99" s="6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65" t="n"/>
      <c r="L99" s="63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52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52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50" t="n"/>
      <c r="AW99" s="50" t="n"/>
      <c r="AX99" s="50" t="n"/>
      <c r="AY99" s="50" t="n"/>
      <c r="AZ99" s="50" t="n"/>
      <c r="BA99" s="50" t="n"/>
      <c r="BB99" s="50" t="n"/>
      <c r="BC99" s="50" t="n"/>
      <c r="BD99" s="62" t="n"/>
      <c r="BE99" s="62" t="n"/>
      <c r="BF99" s="62" t="n"/>
      <c r="BG99" s="62" t="n"/>
      <c r="BH99" s="62" t="n"/>
      <c r="BI99" s="62" t="n"/>
      <c r="BJ99" s="62" t="n"/>
      <c r="BK99" s="66" t="n"/>
      <c r="BL99" s="66" t="n"/>
      <c r="BM99" s="66" t="n"/>
      <c r="BN99" s="66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52" t="n"/>
      <c r="BZ99" s="153" t="n"/>
      <c r="CA99" s="153" t="n"/>
      <c r="CB99" s="66" t="n"/>
      <c r="CC99" s="154" t="n"/>
      <c r="CD99" s="66" t="n"/>
      <c r="CE99" s="66" t="n"/>
      <c r="CF99" s="69" t="n"/>
      <c r="CG99" s="69" t="n"/>
      <c r="CH99" s="69" t="n"/>
      <c r="CI99" s="69" t="n"/>
      <c r="CJ99" s="69" t="n"/>
      <c r="CK99" s="69" t="n"/>
      <c r="CL99" s="69" t="n"/>
      <c r="CM99" s="17" t="n"/>
      <c r="CN99" s="17" t="n"/>
      <c r="CO99" s="38">
        <f>SUM(L99+M99+N99+BK99)/65+SUM(V99+W99)/44+SUM(AE99+AF99+AG99+AH99+AI99+BO99+BP99+BQ99+CF99+CG99)/45+SUM(AV99+AW99+BD99+BE99)/60</f>
        <v/>
      </c>
      <c r="CP99" s="38">
        <f>SUM(O99+P99+Q99+BL99+BM99+CB99+CC99)/65+SUM(X99+Y99)/44+SUM(AJ99+AK99+AM99+AN99+AO99+AP99+AQ99+BR99+BS99+BT99+BU99+BV99+CH99+CI99+CJ99+CK99)/45+SUM(AX99+AY99+AZ99+BA99+BF99+BG99+BH99)/60+SUM(AL99+BZ99)/50</f>
        <v/>
      </c>
      <c r="CQ99" s="38">
        <f>SUM(R99+S99+BN99+CD99+CE99)/65+SUM(AB99)/36+SUM(AR99+AS99+BW99+BX99+CL99+CM99)/40+SUM(BB99+BC99+BI99+BJ99)/60</f>
        <v/>
      </c>
      <c r="CR99" s="38">
        <f>SUM(Z99+AA99)/44</f>
        <v/>
      </c>
      <c r="CS99" s="38">
        <f>SUM(T99)/65+SUM(AC99+AD99)/40+SUM(AT99+AU99)/54</f>
        <v/>
      </c>
      <c r="CT99" s="38">
        <f>SUM(BY99+CN99)/45</f>
        <v/>
      </c>
      <c r="CU99" s="83">
        <f>SUM(U99)/75+SUM(CA99)/60</f>
        <v/>
      </c>
      <c r="CV99" s="155">
        <f>#REF!+B99-L99</f>
        <v/>
      </c>
      <c r="CW99" s="155">
        <f>CW98+C99-M99</f>
        <v/>
      </c>
      <c r="CX99" s="155">
        <f>CX98+D99-N99</f>
        <v/>
      </c>
      <c r="CY99" s="155">
        <f>CY98+E99-O99</f>
        <v/>
      </c>
      <c r="CZ99" s="155">
        <f>CZ98+F99-P99</f>
        <v/>
      </c>
      <c r="DA99" s="155">
        <f>DA98+G99-Q99</f>
        <v/>
      </c>
      <c r="DB99" s="155">
        <f>DB98+H99-R99</f>
        <v/>
      </c>
      <c r="DC99" s="155">
        <f>DC98+I99-S99</f>
        <v/>
      </c>
      <c r="DD99" s="155">
        <f>DD98+J99-T99</f>
        <v/>
      </c>
      <c r="DE99" s="156" t="n"/>
    </row>
    <row r="100" ht="20.25" customHeight="1">
      <c r="A100" s="6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65" t="n"/>
      <c r="L100" s="63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52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52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50" t="n"/>
      <c r="AW100" s="50" t="n"/>
      <c r="AX100" s="50" t="n"/>
      <c r="AY100" s="50" t="n"/>
      <c r="AZ100" s="50" t="n"/>
      <c r="BA100" s="50" t="n"/>
      <c r="BB100" s="50" t="n"/>
      <c r="BC100" s="50" t="n"/>
      <c r="BD100" s="62" t="n"/>
      <c r="BE100" s="62" t="n"/>
      <c r="BF100" s="62" t="n"/>
      <c r="BG100" s="62" t="n"/>
      <c r="BH100" s="62" t="n"/>
      <c r="BI100" s="62" t="n"/>
      <c r="BJ100" s="62" t="n"/>
      <c r="BK100" s="66" t="n"/>
      <c r="BL100" s="66" t="n"/>
      <c r="BM100" s="66" t="n"/>
      <c r="BN100" s="66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52" t="n"/>
      <c r="BZ100" s="153" t="n"/>
      <c r="CA100" s="153" t="n"/>
      <c r="CB100" s="66" t="n"/>
      <c r="CC100" s="154" t="n"/>
      <c r="CD100" s="66" t="n"/>
      <c r="CE100" s="66" t="n"/>
      <c r="CF100" s="69" t="n"/>
      <c r="CG100" s="69" t="n"/>
      <c r="CH100" s="69" t="n"/>
      <c r="CI100" s="69" t="n"/>
      <c r="CJ100" s="69" t="n"/>
      <c r="CK100" s="69" t="n"/>
      <c r="CL100" s="69" t="n"/>
      <c r="CM100" s="17" t="n"/>
      <c r="CN100" s="17" t="n"/>
      <c r="CO100" s="38">
        <f>SUM(L100+M100+N100+BK100)/65+SUM(V100+W100)/44+SUM(AE100+AF100+AG100+AH100+AI100+BO100+BP100+BQ100+CF100+CG100)/45+SUM(AV100+AW100+BD100+BE100)/60</f>
        <v/>
      </c>
      <c r="CP100" s="38">
        <f>SUM(O100+P100+Q100+BL100+BM100+CB100+CC100)/65+SUM(X100+Y100)/44+SUM(AJ100+AK100+AM100+AN100+AO100+AP100+AQ100+BR100+BS100+BT100+BU100+BV100+CH100+CI100+CJ100+CK100)/45+SUM(AX100+AY100+AZ100+BA100+BF100+BG100+BH100)/60+SUM(AL100+BZ100)/50</f>
        <v/>
      </c>
      <c r="CQ100" s="38">
        <f>SUM(R100+S100+BN100+CD100+CE100)/65+SUM(AB100)/36+SUM(AR100+AS100+BW100+BX100+CL100+CM100)/40+SUM(BB100+BC100+BI100+BJ100)/60</f>
        <v/>
      </c>
      <c r="CR100" s="38">
        <f>SUM(Z100+AA100)/44</f>
        <v/>
      </c>
      <c r="CS100" s="38">
        <f>SUM(T100)/65+SUM(AC100+AD100)/40+SUM(AT100+AU100)/54</f>
        <v/>
      </c>
      <c r="CT100" s="38">
        <f>SUM(BY100+CN100)/45</f>
        <v/>
      </c>
      <c r="CU100" s="83">
        <f>SUM(U100)/75+SUM(CA100)/60</f>
        <v/>
      </c>
      <c r="CV100" s="155">
        <f>#REF!+B100-L100</f>
        <v/>
      </c>
      <c r="CW100" s="155">
        <f>CW99+C100-M100</f>
        <v/>
      </c>
      <c r="CX100" s="155">
        <f>CX99+D100-N100</f>
        <v/>
      </c>
      <c r="CY100" s="155">
        <f>CY99+E100-O100</f>
        <v/>
      </c>
      <c r="CZ100" s="155">
        <f>CZ99+F100-P100</f>
        <v/>
      </c>
      <c r="DA100" s="155">
        <f>DA99+G100-Q100</f>
        <v/>
      </c>
      <c r="DB100" s="155">
        <f>DB99+H100-R100</f>
        <v/>
      </c>
      <c r="DC100" s="155">
        <f>DC99+I100-S100</f>
        <v/>
      </c>
      <c r="DD100" s="155">
        <f>DD99+J100-T100</f>
        <v/>
      </c>
      <c r="DE100" s="156" t="n"/>
    </row>
    <row r="101" ht="20.25" customHeight="1">
      <c r="A101" s="6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65" t="n"/>
      <c r="L101" s="63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52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52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50" t="n"/>
      <c r="AW101" s="50" t="n"/>
      <c r="AX101" s="50" t="n"/>
      <c r="AY101" s="50" t="n"/>
      <c r="AZ101" s="50" t="n"/>
      <c r="BA101" s="50" t="n"/>
      <c r="BB101" s="50" t="n"/>
      <c r="BC101" s="50" t="n"/>
      <c r="BD101" s="62" t="n"/>
      <c r="BE101" s="62" t="n"/>
      <c r="BF101" s="62" t="n"/>
      <c r="BG101" s="62" t="n"/>
      <c r="BH101" s="62" t="n"/>
      <c r="BI101" s="62" t="n"/>
      <c r="BJ101" s="62" t="n"/>
      <c r="BK101" s="66" t="n"/>
      <c r="BL101" s="66" t="n"/>
      <c r="BM101" s="66" t="n"/>
      <c r="BN101" s="66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52" t="n"/>
      <c r="BZ101" s="153" t="n"/>
      <c r="CA101" s="153" t="n"/>
      <c r="CB101" s="66" t="n"/>
      <c r="CC101" s="154" t="n"/>
      <c r="CD101" s="66" t="n"/>
      <c r="CE101" s="66" t="n"/>
      <c r="CF101" s="69" t="n"/>
      <c r="CG101" s="69" t="n"/>
      <c r="CH101" s="69" t="n"/>
      <c r="CI101" s="69" t="n"/>
      <c r="CJ101" s="69" t="n"/>
      <c r="CK101" s="69" t="n"/>
      <c r="CL101" s="69" t="n"/>
      <c r="CM101" s="17" t="n"/>
      <c r="CN101" s="17" t="n"/>
      <c r="CO101" s="38">
        <f>SUM(L101+M101+N101+BK101)/65+SUM(V101+W101)/44+SUM(AE101+AF101+AG101+AH101+AI101+BO101+BP101+BQ101+CF101+CG101)/45+SUM(AV101+AW101+BD101+BE101)/60</f>
        <v/>
      </c>
      <c r="CP101" s="38">
        <f>SUM(O101+P101+Q101+BL101+BM101+CB101+CC101)/65+SUM(X101+Y101)/44+SUM(AJ101+AK101+AM101+AN101+AO101+AP101+AQ101+BR101+BS101+BT101+BU101+BV101+CH101+CI101+CJ101+CK101)/45+SUM(AX101+AY101+AZ101+BA101+BF101+BG101+BH101)/60+SUM(AL101+BZ101)/50</f>
        <v/>
      </c>
      <c r="CQ101" s="38">
        <f>SUM(R101+S101+BN101+CD101+CE101)/65+SUM(AB101)/36+SUM(AR101+AS101+BW101+BX101+CL101+CM101)/40+SUM(BB101+BC101+BI101+BJ101)/60</f>
        <v/>
      </c>
      <c r="CR101" s="38">
        <f>SUM(Z101+AA101)/44</f>
        <v/>
      </c>
      <c r="CS101" s="38">
        <f>SUM(T101)/65+SUM(AC101+AD101)/40+SUM(AT101+AU101)/54</f>
        <v/>
      </c>
      <c r="CT101" s="38">
        <f>SUM(BY101+CN101)/45</f>
        <v/>
      </c>
      <c r="CU101" s="83">
        <f>SUM(U101)/75+SUM(CA101)/60</f>
        <v/>
      </c>
      <c r="CV101" s="155">
        <f>CV97+B101-L101</f>
        <v/>
      </c>
      <c r="CW101" s="155">
        <f>CW100+C101-M101</f>
        <v/>
      </c>
      <c r="CX101" s="155">
        <f>CX100+D101-N101</f>
        <v/>
      </c>
      <c r="CY101" s="155">
        <f>CY100+E101-O101</f>
        <v/>
      </c>
      <c r="CZ101" s="155">
        <f>CZ100+F101-P101</f>
        <v/>
      </c>
      <c r="DA101" s="155">
        <f>DA100+G101-Q101</f>
        <v/>
      </c>
      <c r="DB101" s="155">
        <f>DB100+H101-R101</f>
        <v/>
      </c>
      <c r="DC101" s="155">
        <f>DC100+I101-S101</f>
        <v/>
      </c>
      <c r="DD101" s="155">
        <f>DD100+J101-T101</f>
        <v/>
      </c>
      <c r="DE101" s="156" t="n"/>
    </row>
    <row r="102" ht="20.25" customHeight="1">
      <c r="A102" s="61" t="n"/>
      <c r="B102" s="152" t="n"/>
      <c r="C102" s="152" t="n"/>
      <c r="D102" s="152" t="n"/>
      <c r="E102" s="152" t="n"/>
      <c r="F102" s="152" t="n"/>
      <c r="G102" s="152" t="n"/>
      <c r="H102" s="152" t="n"/>
      <c r="I102" s="152" t="n"/>
      <c r="J102" s="152" t="n"/>
      <c r="K102" s="65" t="n"/>
      <c r="L102" s="63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52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52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50" t="n"/>
      <c r="AW102" s="50" t="n"/>
      <c r="AX102" s="50" t="n"/>
      <c r="AY102" s="50" t="n"/>
      <c r="AZ102" s="50" t="n"/>
      <c r="BA102" s="50" t="n"/>
      <c r="BB102" s="50" t="n"/>
      <c r="BC102" s="50" t="n"/>
      <c r="BD102" s="62" t="n"/>
      <c r="BE102" s="62" t="n"/>
      <c r="BF102" s="62" t="n"/>
      <c r="BG102" s="62" t="n"/>
      <c r="BH102" s="62" t="n"/>
      <c r="BI102" s="62" t="n"/>
      <c r="BJ102" s="62" t="n"/>
      <c r="BK102" s="66" t="n"/>
      <c r="BL102" s="66" t="n"/>
      <c r="BM102" s="66" t="n"/>
      <c r="BN102" s="66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52" t="n"/>
      <c r="BZ102" s="153" t="n"/>
      <c r="CA102" s="153" t="n"/>
      <c r="CB102" s="66" t="n"/>
      <c r="CC102" s="154" t="n"/>
      <c r="CD102" s="66" t="n"/>
      <c r="CE102" s="66" t="n"/>
      <c r="CF102" s="69" t="n"/>
      <c r="CG102" s="69" t="n"/>
      <c r="CH102" s="69" t="n"/>
      <c r="CI102" s="69" t="n"/>
      <c r="CJ102" s="69" t="n"/>
      <c r="CK102" s="69" t="n"/>
      <c r="CL102" s="69" t="n"/>
      <c r="CM102" s="17" t="n"/>
      <c r="CN102" s="17" t="n"/>
      <c r="CO102" s="38">
        <f>SUM(L102+M102+N102+BK102)/65+SUM(V102+W102)/44+SUM(AE102+AF102+AG102+AH102+AI102+BO102+BP102+BQ102+CF102+CG102)/45+SUM(AV102+AW102+BD102+BE102)/60</f>
        <v/>
      </c>
      <c r="CP102" s="38">
        <f>SUM(O102+P102+Q102+BL102+BM102+CB102+CC102)/65+SUM(X102+Y102)/44+SUM(AJ102+AK102+AM102+AN102+AO102+AP102+AQ102+BR102+BS102+BT102+BU102+BV102+CH102+CI102+CJ102+CK102)/45+SUM(AX102+AY102+AZ102+BA102+BF102+BG102+BH102)/60+SUM(AL102+BZ102)/50</f>
        <v/>
      </c>
      <c r="CQ102" s="38">
        <f>SUM(R102+S102+BN102+CD102+CE102)/65+SUM(AB102)/36+SUM(AR102+AS102+BW102+BX102+CL102+CM102)/40+SUM(BB102+BC102+BI102+BJ102)/60</f>
        <v/>
      </c>
      <c r="CR102" s="38">
        <f>SUM(Z102+AA102)/44</f>
        <v/>
      </c>
      <c r="CS102" s="38">
        <f>SUM(T102)/65+SUM(AC102+AD102)/40+SUM(AT102+AU102)/54</f>
        <v/>
      </c>
      <c r="CT102" s="38">
        <f>SUM(BY102+CN102)/45</f>
        <v/>
      </c>
      <c r="CU102" s="83">
        <f>SUM(U102)/75+SUM(CA102)/60</f>
        <v/>
      </c>
      <c r="CV102" s="157">
        <f>CV101+B102-L102</f>
        <v/>
      </c>
      <c r="CW102" s="155">
        <f>CW101+C102-M102</f>
        <v/>
      </c>
      <c r="CX102" s="155">
        <f>CX101+D102-N102</f>
        <v/>
      </c>
      <c r="CY102" s="155">
        <f>CY101+E102-O102</f>
        <v/>
      </c>
      <c r="CZ102" s="155">
        <f>CZ101+F102-P102</f>
        <v/>
      </c>
      <c r="DA102" s="155">
        <f>DA101+G102-Q102</f>
        <v/>
      </c>
      <c r="DB102" s="155">
        <f>DB101+H102-R102</f>
        <v/>
      </c>
      <c r="DC102" s="155">
        <f>DC101+I102-S102</f>
        <v/>
      </c>
      <c r="DD102" s="155">
        <f>DD101+J102-T102</f>
        <v/>
      </c>
      <c r="DE102" s="156" t="n"/>
    </row>
    <row r="103" ht="20.25" customHeight="1">
      <c r="A103" s="6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65" t="n"/>
      <c r="L103" s="63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52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52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50" t="n"/>
      <c r="AW103" s="50" t="n"/>
      <c r="AX103" s="50" t="n"/>
      <c r="AY103" s="50" t="n"/>
      <c r="AZ103" s="50" t="n"/>
      <c r="BA103" s="50" t="n"/>
      <c r="BB103" s="50" t="n"/>
      <c r="BC103" s="50" t="n"/>
      <c r="BD103" s="62" t="n"/>
      <c r="BE103" s="62" t="n"/>
      <c r="BF103" s="62" t="n"/>
      <c r="BG103" s="62" t="n"/>
      <c r="BH103" s="62" t="n"/>
      <c r="BI103" s="62" t="n"/>
      <c r="BJ103" s="62" t="n"/>
      <c r="BK103" s="66" t="n"/>
      <c r="BL103" s="66" t="n"/>
      <c r="BM103" s="66" t="n"/>
      <c r="BN103" s="66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52" t="n"/>
      <c r="BZ103" s="153" t="n"/>
      <c r="CA103" s="153" t="n"/>
      <c r="CB103" s="66" t="n"/>
      <c r="CC103" s="154" t="n"/>
      <c r="CD103" s="66" t="n"/>
      <c r="CE103" s="66" t="n"/>
      <c r="CF103" s="69" t="n"/>
      <c r="CG103" s="69" t="n"/>
      <c r="CH103" s="69" t="n"/>
      <c r="CI103" s="69" t="n"/>
      <c r="CJ103" s="69" t="n"/>
      <c r="CK103" s="69" t="n"/>
      <c r="CL103" s="69" t="n"/>
      <c r="CM103" s="17" t="n"/>
      <c r="CN103" s="17" t="n"/>
      <c r="CO103" s="38">
        <f>SUM(L103+M103+N103+BK103)/65+SUM(V103+W103)/44+SUM(AE103+AF103+AG103+AH103+AI103+BO103+BP103+BQ103+CF103+CG103)/45+SUM(AV103+AW103+BD103+BE103)/60</f>
        <v/>
      </c>
      <c r="CP103" s="38">
        <f>SUM(O103+P103+Q103+BL103+BM103+CB103+CC103)/65+SUM(X103+Y103)/44+SUM(AJ103+AK103+AM103+AN103+AO103+AP103+AQ103+BR103+BS103+BT103+BU103+BV103+CH103+CI103+CJ103+CK103)/45+SUM(AX103+AY103+AZ103+BA103+BF103+BG103+BH103)/60+SUM(AL103+BZ103)/50</f>
        <v/>
      </c>
      <c r="CQ103" s="38">
        <f>SUM(R103+S103+BN103+CD103+CE103)/65+SUM(AB103)/36+SUM(AR103+AS103+BW103+BX103+CL103+CM103)/40+SUM(BB103+BC103+BI103+BJ103)/60</f>
        <v/>
      </c>
      <c r="CR103" s="38">
        <f>SUM(Z103+AA103)/44</f>
        <v/>
      </c>
      <c r="CS103" s="38">
        <f>SUM(T103)/65+SUM(AC103+AD103)/40+SUM(AT103+AU103)/54</f>
        <v/>
      </c>
      <c r="CT103" s="38">
        <f>SUM(BY103+CN103)/45</f>
        <v/>
      </c>
      <c r="CU103" s="83">
        <f>SUM(U103)/75+SUM(CA103)/60</f>
        <v/>
      </c>
      <c r="CV103" s="155">
        <f>CV14+B103-L103</f>
        <v/>
      </c>
      <c r="CW103" s="155">
        <f>CW102+C103-M103</f>
        <v/>
      </c>
      <c r="CX103" s="155">
        <f>CX102+D103-N103</f>
        <v/>
      </c>
      <c r="CY103" s="155">
        <f>CY102+E103-O103</f>
        <v/>
      </c>
      <c r="CZ103" s="155">
        <f>CZ102+F103-P103</f>
        <v/>
      </c>
      <c r="DA103" s="155">
        <f>DA102+G103-Q103</f>
        <v/>
      </c>
      <c r="DB103" s="155">
        <f>DB102+H103-R103</f>
        <v/>
      </c>
      <c r="DC103" s="155">
        <f>DC102+I103-S103</f>
        <v/>
      </c>
      <c r="DD103" s="155">
        <f>DD102+J103-T103</f>
        <v/>
      </c>
      <c r="DE103" s="156" t="n"/>
    </row>
    <row r="104" ht="20.25" customHeight="1">
      <c r="A104" s="6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65" t="n"/>
      <c r="L104" s="63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52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52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50" t="n"/>
      <c r="AW104" s="50" t="n"/>
      <c r="AX104" s="50" t="n"/>
      <c r="AY104" s="50" t="n"/>
      <c r="AZ104" s="50" t="n"/>
      <c r="BA104" s="50" t="n"/>
      <c r="BB104" s="50" t="n"/>
      <c r="BC104" s="50" t="n"/>
      <c r="BD104" s="62" t="n"/>
      <c r="BE104" s="62" t="n"/>
      <c r="BF104" s="62" t="n"/>
      <c r="BG104" s="62" t="n"/>
      <c r="BH104" s="62" t="n"/>
      <c r="BI104" s="62" t="n"/>
      <c r="BJ104" s="62" t="n"/>
      <c r="BK104" s="66" t="n"/>
      <c r="BL104" s="66" t="n"/>
      <c r="BM104" s="66" t="n"/>
      <c r="BN104" s="66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52" t="n"/>
      <c r="BZ104" s="153" t="n"/>
      <c r="CA104" s="153" t="n"/>
      <c r="CB104" s="66" t="n"/>
      <c r="CC104" s="154" t="n"/>
      <c r="CD104" s="66" t="n"/>
      <c r="CE104" s="66" t="n"/>
      <c r="CF104" s="69" t="n"/>
      <c r="CG104" s="69" t="n"/>
      <c r="CH104" s="69" t="n"/>
      <c r="CI104" s="69" t="n"/>
      <c r="CJ104" s="69" t="n"/>
      <c r="CK104" s="69" t="n"/>
      <c r="CL104" s="69" t="n"/>
      <c r="CM104" s="17" t="n"/>
      <c r="CN104" s="17" t="n"/>
      <c r="CO104" s="38">
        <f>SUM(L104+M104+N104+BK104)/65+SUM(V104+W104)/44+SUM(AE104+AF104+AG104+AH104+AI104+BO104+BP104+BQ104+CF104+CG104)/45+SUM(AV104+AW104+BD104+BE104)/60</f>
        <v/>
      </c>
      <c r="CP104" s="38">
        <f>SUM(O104+P104+Q104+BL104+BM104+CB104+CC104)/65+SUM(X104+Y104)/44+SUM(AJ104+AK104+AM104+AN104+AO104+AP104+AQ104+BR104+BS104+BT104+BU104+BV104+CH104+CI104+CJ104+CK104)/45+SUM(AX104+AY104+AZ104+BA104+BF104+BG104+BH104)/60+SUM(AL104+BZ104)/50</f>
        <v/>
      </c>
      <c r="CQ104" s="38">
        <f>SUM(R104+S104+BN104+CD104+CE104)/65+SUM(AB104)/36+SUM(AR104+AS104+BW104+BX104+CL104+CM104)/40+SUM(BB104+BC104+BI104+BJ104)/60</f>
        <v/>
      </c>
      <c r="CR104" s="38">
        <f>SUM(Z104+AA104)/44</f>
        <v/>
      </c>
      <c r="CS104" s="38">
        <f>SUM(T104)/65+SUM(AC104+AD104)/40+SUM(AT104+AU104)/54</f>
        <v/>
      </c>
      <c r="CT104" s="38">
        <f>SUM(BY104+CN104)/45</f>
        <v/>
      </c>
      <c r="CU104" s="83">
        <f>SUM(U104)/75+SUM(CA104)/60</f>
        <v/>
      </c>
      <c r="CV104" s="155">
        <f>#REF!+B104-L104</f>
        <v/>
      </c>
      <c r="CW104" s="155">
        <f>CW103+C104-M104</f>
        <v/>
      </c>
      <c r="CX104" s="155">
        <f>CX103+D104-N104</f>
        <v/>
      </c>
      <c r="CY104" s="155">
        <f>CY103+E104-O104</f>
        <v/>
      </c>
      <c r="CZ104" s="155">
        <f>CZ103+F104-P104</f>
        <v/>
      </c>
      <c r="DA104" s="155">
        <f>DA103+G104-Q104</f>
        <v/>
      </c>
      <c r="DB104" s="155">
        <f>DB103+H104-R104</f>
        <v/>
      </c>
      <c r="DC104" s="155">
        <f>DC103+I104-S104</f>
        <v/>
      </c>
      <c r="DD104" s="155">
        <f>DD103+J104-T104</f>
        <v/>
      </c>
      <c r="DE104" s="156" t="n"/>
    </row>
    <row r="105" ht="20.25" customHeight="1">
      <c r="A105" s="6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65" t="n"/>
      <c r="L105" s="63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52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52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50" t="n"/>
      <c r="AW105" s="50" t="n"/>
      <c r="AX105" s="50" t="n"/>
      <c r="AY105" s="50" t="n"/>
      <c r="AZ105" s="50" t="n"/>
      <c r="BA105" s="50" t="n"/>
      <c r="BB105" s="50" t="n"/>
      <c r="BC105" s="50" t="n"/>
      <c r="BD105" s="62" t="n"/>
      <c r="BE105" s="62" t="n"/>
      <c r="BF105" s="62" t="n"/>
      <c r="BG105" s="62" t="n"/>
      <c r="BH105" s="62" t="n"/>
      <c r="BI105" s="62" t="n"/>
      <c r="BJ105" s="62" t="n"/>
      <c r="BK105" s="66" t="n"/>
      <c r="BL105" s="66" t="n"/>
      <c r="BM105" s="66" t="n"/>
      <c r="BN105" s="66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52" t="n"/>
      <c r="BZ105" s="153" t="n"/>
      <c r="CA105" s="153" t="n"/>
      <c r="CB105" s="66" t="n"/>
      <c r="CC105" s="154" t="n"/>
      <c r="CD105" s="66" t="n"/>
      <c r="CE105" s="66" t="n"/>
      <c r="CF105" s="69" t="n"/>
      <c r="CG105" s="69" t="n"/>
      <c r="CH105" s="69" t="n"/>
      <c r="CI105" s="69" t="n"/>
      <c r="CJ105" s="69" t="n"/>
      <c r="CK105" s="69" t="n"/>
      <c r="CL105" s="69" t="n"/>
      <c r="CM105" s="17" t="n"/>
      <c r="CN105" s="17" t="n"/>
      <c r="CO105" s="38">
        <f>SUM(L105+M105+N105+BK105)/65+SUM(V105+W105)/44+SUM(AE105+AF105+AG105+AH105+AI105+BO105+BP105+BQ105+CF105+CG105)/45+SUM(AV105+AW105+BD105+BE105)/60</f>
        <v/>
      </c>
      <c r="CP105" s="38">
        <f>SUM(O105+P105+Q105+BL105+BM105+CB105+CC105)/65+SUM(X105+Y105)/44+SUM(AJ105+AK105+AM105+AN105+AO105+AP105+AQ105+BR105+BS105+BT105+BU105+BV105+CH105+CI105+CJ105+CK105)/45+SUM(AX105+AY105+AZ105+BA105+BF105+BG105+BH105)/60+SUM(AL105+BZ105)/50</f>
        <v/>
      </c>
      <c r="CQ105" s="38">
        <f>SUM(R105+S105+BN105+CD105+CE105)/65+SUM(AB105)/36+SUM(AR105+AS105+BW105+BX105+CL105+CM105)/40+SUM(BB105+BC105+BI105+BJ105)/60</f>
        <v/>
      </c>
      <c r="CR105" s="38">
        <f>SUM(Z105+AA105)/44</f>
        <v/>
      </c>
      <c r="CS105" s="38">
        <f>SUM(T105)/65+SUM(AC105+AD105)/40+SUM(AT105+AU105)/54</f>
        <v/>
      </c>
      <c r="CT105" s="38">
        <f>SUM(BY105+CN105)/45</f>
        <v/>
      </c>
      <c r="CU105" s="83">
        <f>SUM(U105)/75+SUM(CA105)/60</f>
        <v/>
      </c>
      <c r="CV105" s="155">
        <f>#REF!+B105-L105</f>
        <v/>
      </c>
      <c r="CW105" s="155">
        <f>CW104+C105-M105</f>
        <v/>
      </c>
      <c r="CX105" s="155">
        <f>CX104+D105-N105</f>
        <v/>
      </c>
      <c r="CY105" s="155">
        <f>CY104+E105-O105</f>
        <v/>
      </c>
      <c r="CZ105" s="155">
        <f>CZ104+F105-P105</f>
        <v/>
      </c>
      <c r="DA105" s="155">
        <f>DA104+G105-Q105</f>
        <v/>
      </c>
      <c r="DB105" s="155">
        <f>DB104+H105-R105</f>
        <v/>
      </c>
      <c r="DC105" s="155">
        <f>DC104+I105-S105</f>
        <v/>
      </c>
      <c r="DD105" s="155">
        <f>DD104+J105-T105</f>
        <v/>
      </c>
      <c r="DE105" s="156" t="n"/>
    </row>
    <row r="106" ht="20.25" customHeight="1">
      <c r="A106" s="6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65" t="n"/>
      <c r="L106" s="63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52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52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50" t="n"/>
      <c r="AW106" s="50" t="n"/>
      <c r="AX106" s="50" t="n"/>
      <c r="AY106" s="50" t="n"/>
      <c r="AZ106" s="50" t="n"/>
      <c r="BA106" s="50" t="n"/>
      <c r="BB106" s="50" t="n"/>
      <c r="BC106" s="50" t="n"/>
      <c r="BD106" s="62" t="n"/>
      <c r="BE106" s="62" t="n"/>
      <c r="BF106" s="62" t="n"/>
      <c r="BG106" s="62" t="n"/>
      <c r="BH106" s="62" t="n"/>
      <c r="BI106" s="62" t="n"/>
      <c r="BJ106" s="62" t="n"/>
      <c r="BK106" s="66" t="n"/>
      <c r="BL106" s="66" t="n"/>
      <c r="BM106" s="66" t="n"/>
      <c r="BN106" s="66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52" t="n"/>
      <c r="BZ106" s="153" t="n"/>
      <c r="CA106" s="153" t="n"/>
      <c r="CB106" s="66" t="n"/>
      <c r="CC106" s="154" t="n"/>
      <c r="CD106" s="66" t="n"/>
      <c r="CE106" s="66" t="n"/>
      <c r="CF106" s="69" t="n"/>
      <c r="CG106" s="69" t="n"/>
      <c r="CH106" s="69" t="n"/>
      <c r="CI106" s="69" t="n"/>
      <c r="CJ106" s="69" t="n"/>
      <c r="CK106" s="69" t="n"/>
      <c r="CL106" s="69" t="n"/>
      <c r="CM106" s="17" t="n"/>
      <c r="CN106" s="17" t="n"/>
      <c r="CO106" s="38">
        <f>SUM(L106+M106+N106+BK106)/65+SUM(V106+W106)/44+SUM(AE106+AF106+AG106+AH106+AI106+BO106+BP106+BQ106+CF106+CG106)/45+SUM(AV106+AW106+BD106+BE106)/60</f>
        <v/>
      </c>
      <c r="CP106" s="38">
        <f>SUM(O106+P106+Q106+BL106+BM106+CB106+CC106)/65+SUM(X106+Y106)/44+SUM(AJ106+AK106+AM106+AN106+AO106+AP106+AQ106+BR106+BS106+BT106+BU106+BV106+CH106+CI106+CJ106+CK106)/45+SUM(AX106+AY106+AZ106+BA106+BF106+BG106+BH106)/60+SUM(AL106+BZ106)/50</f>
        <v/>
      </c>
      <c r="CQ106" s="38">
        <f>SUM(R106+S106+BN106+CD106+CE106)/65+SUM(AB106)/36+SUM(AR106+AS106+BW106+BX106+CL106+CM106)/40+SUM(BB106+BC106+BI106+BJ106)/60</f>
        <v/>
      </c>
      <c r="CR106" s="38">
        <f>SUM(Z106+AA106)/44</f>
        <v/>
      </c>
      <c r="CS106" s="38">
        <f>SUM(T106)/65+SUM(AC106+AD106)/40+SUM(AT106+AU106)/54</f>
        <v/>
      </c>
      <c r="CT106" s="38">
        <f>SUM(BY106+CN106)/45</f>
        <v/>
      </c>
      <c r="CU106" s="83">
        <f>SUM(U106)/75+SUM(CA106)/60</f>
        <v/>
      </c>
      <c r="CV106" s="155">
        <f>#REF!+B106-L106</f>
        <v/>
      </c>
      <c r="CW106" s="155">
        <f>CW105+C106-M106</f>
        <v/>
      </c>
      <c r="CX106" s="155">
        <f>CX105+D106-N106</f>
        <v/>
      </c>
      <c r="CY106" s="155">
        <f>CY105+E106-O106</f>
        <v/>
      </c>
      <c r="CZ106" s="155">
        <f>CZ105+F106-P106</f>
        <v/>
      </c>
      <c r="DA106" s="155">
        <f>DA105+G106-Q106</f>
        <v/>
      </c>
      <c r="DB106" s="155">
        <f>DB105+H106-R106</f>
        <v/>
      </c>
      <c r="DC106" s="155">
        <f>DC105+I106-S106</f>
        <v/>
      </c>
      <c r="DD106" s="155">
        <f>DD105+J106-T106</f>
        <v/>
      </c>
      <c r="DE106" s="156" t="n"/>
    </row>
    <row r="107" ht="20.25" customHeight="1">
      <c r="A107" s="6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65" t="n"/>
      <c r="L107" s="63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52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52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50" t="n"/>
      <c r="AW107" s="50" t="n"/>
      <c r="AX107" s="50" t="n"/>
      <c r="AY107" s="50" t="n"/>
      <c r="AZ107" s="50" t="n"/>
      <c r="BA107" s="50" t="n"/>
      <c r="BB107" s="50" t="n"/>
      <c r="BC107" s="50" t="n"/>
      <c r="BD107" s="62" t="n"/>
      <c r="BE107" s="62" t="n"/>
      <c r="BF107" s="62" t="n"/>
      <c r="BG107" s="62" t="n"/>
      <c r="BH107" s="62" t="n"/>
      <c r="BI107" s="62" t="n"/>
      <c r="BJ107" s="62" t="n"/>
      <c r="BK107" s="66" t="n"/>
      <c r="BL107" s="66" t="n"/>
      <c r="BM107" s="66" t="n"/>
      <c r="BN107" s="66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52" t="n"/>
      <c r="BZ107" s="153" t="n"/>
      <c r="CA107" s="153" t="n"/>
      <c r="CB107" s="66" t="n"/>
      <c r="CC107" s="154" t="n"/>
      <c r="CD107" s="66" t="n"/>
      <c r="CE107" s="66" t="n"/>
      <c r="CF107" s="69" t="n"/>
      <c r="CG107" s="69" t="n"/>
      <c r="CH107" s="69" t="n"/>
      <c r="CI107" s="69" t="n"/>
      <c r="CJ107" s="69" t="n"/>
      <c r="CK107" s="69" t="n"/>
      <c r="CL107" s="69" t="n"/>
      <c r="CM107" s="17" t="n"/>
      <c r="CN107" s="17" t="n"/>
      <c r="CO107" s="38">
        <f>SUM(L107+M107+N107+BK107)/65+SUM(V107+W107)/44+SUM(AE107+AF107+AG107+AH107+AI107+BO107+BP107+BQ107+CF107+CG107)/45+SUM(AV107+AW107+BD107+BE107)/60</f>
        <v/>
      </c>
      <c r="CP107" s="38">
        <f>SUM(O107+P107+Q107+BL107+BM107+CB107+CC107)/65+SUM(X107+Y107)/44+SUM(AJ107+AK107+AM107+AN107+AO107+AP107+AQ107+BR107+BS107+BT107+BU107+BV107+CH107+CI107+CJ107+CK107)/45+SUM(AX107+AY107+AZ107+BA107+BF107+BG107+BH107)/60+SUM(AL107+BZ107)/50</f>
        <v/>
      </c>
      <c r="CQ107" s="38">
        <f>SUM(R107+S107+BN107+CD107+CE107)/65+SUM(AB107)/36+SUM(AR107+AS107+BW107+BX107+CL107+CM107)/40+SUM(BB107+BC107+BI107+BJ107)/60</f>
        <v/>
      </c>
      <c r="CR107" s="38">
        <f>SUM(Z107+AA107)/44</f>
        <v/>
      </c>
      <c r="CS107" s="38">
        <f>SUM(T107)/65+SUM(AC107+AD107)/40+SUM(AT107+AU107)/54</f>
        <v/>
      </c>
      <c r="CT107" s="38">
        <f>SUM(BY107+CN107)/45</f>
        <v/>
      </c>
      <c r="CU107" s="83">
        <f>SUM(U107)/75+SUM(CA107)/60</f>
        <v/>
      </c>
      <c r="CV107" s="155">
        <f>#REF!+B107-L107</f>
        <v/>
      </c>
      <c r="CW107" s="155">
        <f>CW106+C107-M107</f>
        <v/>
      </c>
      <c r="CX107" s="155">
        <f>CX106+D107-N107</f>
        <v/>
      </c>
      <c r="CY107" s="155">
        <f>CY106+E107-O107</f>
        <v/>
      </c>
      <c r="CZ107" s="155">
        <f>CZ106+F107-P107</f>
        <v/>
      </c>
      <c r="DA107" s="155">
        <f>DA106+G107-Q107</f>
        <v/>
      </c>
      <c r="DB107" s="155">
        <f>DB106+H107-R107</f>
        <v/>
      </c>
      <c r="DC107" s="155">
        <f>DC106+I107-S107</f>
        <v/>
      </c>
      <c r="DD107" s="155">
        <f>DD106+J107-T107</f>
        <v/>
      </c>
      <c r="DE107" s="156" t="n"/>
    </row>
    <row r="108" ht="20.25" customHeight="1">
      <c r="A108" s="6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65" t="n"/>
      <c r="L108" s="63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52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52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50" t="n"/>
      <c r="AW108" s="50" t="n"/>
      <c r="AX108" s="50" t="n"/>
      <c r="AY108" s="50" t="n"/>
      <c r="AZ108" s="50" t="n"/>
      <c r="BA108" s="50" t="n"/>
      <c r="BB108" s="50" t="n"/>
      <c r="BC108" s="50" t="n"/>
      <c r="BD108" s="62" t="n"/>
      <c r="BE108" s="62" t="n"/>
      <c r="BF108" s="62" t="n"/>
      <c r="BG108" s="62" t="n"/>
      <c r="BH108" s="62" t="n"/>
      <c r="BI108" s="62" t="n"/>
      <c r="BJ108" s="62" t="n"/>
      <c r="BK108" s="66" t="n"/>
      <c r="BL108" s="66" t="n"/>
      <c r="BM108" s="66" t="n"/>
      <c r="BN108" s="66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52" t="n"/>
      <c r="BZ108" s="153" t="n"/>
      <c r="CA108" s="153" t="n"/>
      <c r="CB108" s="66" t="n"/>
      <c r="CC108" s="154" t="n"/>
      <c r="CD108" s="66" t="n"/>
      <c r="CE108" s="66" t="n"/>
      <c r="CF108" s="69" t="n"/>
      <c r="CG108" s="69" t="n"/>
      <c r="CH108" s="69" t="n"/>
      <c r="CI108" s="69" t="n"/>
      <c r="CJ108" s="69" t="n"/>
      <c r="CK108" s="69" t="n"/>
      <c r="CL108" s="69" t="n"/>
      <c r="CM108" s="17" t="n"/>
      <c r="CN108" s="17" t="n"/>
      <c r="CO108" s="38">
        <f>SUM(L108+M108+N108+BK108)/65+SUM(V108+W108)/44+SUM(AE108+AF108+AG108+AH108+AI108+BO108+BP108+BQ108+CF108+CG108)/45+SUM(AV108+AW108+BD108+BE108)/60</f>
        <v/>
      </c>
      <c r="CP108" s="38">
        <f>SUM(O108+P108+Q108+BL108+BM108+CB108+CC108)/65+SUM(X108+Y108)/44+SUM(AJ108+AK108+AM108+AN108+AO108+AP108+AQ108+BR108+BS108+BT108+BU108+BV108+CH108+CI108+CJ108+CK108)/45+SUM(AX108+AY108+AZ108+BA108+BF108+BG108+BH108)/60+SUM(AL108+BZ108)/50</f>
        <v/>
      </c>
      <c r="CQ108" s="38">
        <f>SUM(R108+S108+BN108+CD108+CE108)/65+SUM(AB108)/36+SUM(AR108+AS108+BW108+BX108+CL108+CM108)/40+SUM(BB108+BC108+BI108+BJ108)/60</f>
        <v/>
      </c>
      <c r="CR108" s="38">
        <f>SUM(Z108+AA108)/44</f>
        <v/>
      </c>
      <c r="CS108" s="38">
        <f>SUM(T108)/65+SUM(AC108+AD108)/40+SUM(AT108+AU108)/54</f>
        <v/>
      </c>
      <c r="CT108" s="38">
        <f>SUM(BY108+CN108)/45</f>
        <v/>
      </c>
      <c r="CU108" s="83">
        <f>SUM(U108)/75+SUM(CA108)/60</f>
        <v/>
      </c>
      <c r="CV108" s="155">
        <f>#REF!+B108-L108</f>
        <v/>
      </c>
      <c r="CW108" s="155">
        <f>CW107+C108-M108</f>
        <v/>
      </c>
      <c r="CX108" s="155">
        <f>CX107+D108-N108</f>
        <v/>
      </c>
      <c r="CY108" s="155">
        <f>CY107+E108-O108</f>
        <v/>
      </c>
      <c r="CZ108" s="155">
        <f>CZ107+F108-P108</f>
        <v/>
      </c>
      <c r="DA108" s="155">
        <f>DA107+G108-Q108</f>
        <v/>
      </c>
      <c r="DB108" s="155">
        <f>DB107+H108-R108</f>
        <v/>
      </c>
      <c r="DC108" s="155">
        <f>DC107+I108-S108</f>
        <v/>
      </c>
      <c r="DD108" s="155">
        <f>DD107+J108-T108</f>
        <v/>
      </c>
      <c r="DE108" s="156" t="n"/>
    </row>
    <row r="109" ht="20.25" customHeight="1">
      <c r="A109" s="6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65" t="n"/>
      <c r="L109" s="63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52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52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50" t="n"/>
      <c r="AW109" s="50" t="n"/>
      <c r="AX109" s="50" t="n"/>
      <c r="AY109" s="50" t="n"/>
      <c r="AZ109" s="50" t="n"/>
      <c r="BA109" s="50" t="n"/>
      <c r="BB109" s="50" t="n"/>
      <c r="BC109" s="50" t="n"/>
      <c r="BD109" s="62" t="n"/>
      <c r="BE109" s="62" t="n"/>
      <c r="BF109" s="62" t="n"/>
      <c r="BG109" s="62" t="n"/>
      <c r="BH109" s="62" t="n"/>
      <c r="BI109" s="62" t="n"/>
      <c r="BJ109" s="62" t="n"/>
      <c r="BK109" s="66" t="n"/>
      <c r="BL109" s="66" t="n"/>
      <c r="BM109" s="66" t="n"/>
      <c r="BN109" s="66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52" t="n"/>
      <c r="BZ109" s="153" t="n"/>
      <c r="CA109" s="153" t="n"/>
      <c r="CB109" s="66" t="n"/>
      <c r="CC109" s="154" t="n"/>
      <c r="CD109" s="66" t="n"/>
      <c r="CE109" s="66" t="n"/>
      <c r="CF109" s="69" t="n"/>
      <c r="CG109" s="69" t="n"/>
      <c r="CH109" s="69" t="n"/>
      <c r="CI109" s="69" t="n"/>
      <c r="CJ109" s="69" t="n"/>
      <c r="CK109" s="69" t="n"/>
      <c r="CL109" s="69" t="n"/>
      <c r="CM109" s="17" t="n"/>
      <c r="CN109" s="17" t="n"/>
      <c r="CO109" s="38">
        <f>SUM(L109+M109+N109+BK109)/65+SUM(V109+W109)/44+SUM(AE109+AF109+AG109+AH109+AI109+BO109+BP109+BQ109+CF109+CG109)/45+SUM(AV109+AW109+BD109+BE109)/60</f>
        <v/>
      </c>
      <c r="CP109" s="38">
        <f>SUM(O109+P109+Q109+BL109+BM109+CB109+CC109)/65+SUM(X109+Y109)/44+SUM(AJ109+AK109+AM109+AN109+AO109+AP109+AQ109+BR109+BS109+BT109+BU109+BV109+CH109+CI109+CJ109+CK109)/45+SUM(AX109+AY109+AZ109+BA109+BF109+BG109+BH109)/60+SUM(AL109+BZ109)/50</f>
        <v/>
      </c>
      <c r="CQ109" s="38">
        <f>SUM(R109+S109+BN109+CD109+CE109)/65+SUM(AB109)/36+SUM(AR109+AS109+BW109+BX109+CL109+CM109)/40+SUM(BB109+BC109+BI109+BJ109)/60</f>
        <v/>
      </c>
      <c r="CR109" s="38">
        <f>SUM(Z109+AA109)/44</f>
        <v/>
      </c>
      <c r="CS109" s="38">
        <f>SUM(T109)/65+SUM(AC109+AD109)/40+SUM(AT109+AU109)/54</f>
        <v/>
      </c>
      <c r="CT109" s="38">
        <f>SUM(BY109+CN109)/45</f>
        <v/>
      </c>
      <c r="CU109" s="83">
        <f>SUM(U109)/75+SUM(CA109)/60</f>
        <v/>
      </c>
      <c r="CV109" s="155">
        <f>#REF!+B109-L109</f>
        <v/>
      </c>
      <c r="CW109" s="155">
        <f>CW108+C109-M109</f>
        <v/>
      </c>
      <c r="CX109" s="155">
        <f>CX108+D109-N109</f>
        <v/>
      </c>
      <c r="CY109" s="155">
        <f>CY108+E109-O109</f>
        <v/>
      </c>
      <c r="CZ109" s="155">
        <f>CZ108+F109-P109</f>
        <v/>
      </c>
      <c r="DA109" s="155">
        <f>DA108+G109-Q109</f>
        <v/>
      </c>
      <c r="DB109" s="155">
        <f>DB108+H109-R109</f>
        <v/>
      </c>
      <c r="DC109" s="155">
        <f>DC108+I109-S109</f>
        <v/>
      </c>
      <c r="DD109" s="155">
        <f>DD108+J109-T109</f>
        <v/>
      </c>
      <c r="DE109" s="156" t="n"/>
    </row>
    <row r="110" ht="20.25" customHeight="1">
      <c r="A110" s="6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65" t="n"/>
      <c r="L110" s="63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52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52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50" t="n"/>
      <c r="AW110" s="50" t="n"/>
      <c r="AX110" s="50" t="n"/>
      <c r="AY110" s="50" t="n"/>
      <c r="AZ110" s="50" t="n"/>
      <c r="BA110" s="50" t="n"/>
      <c r="BB110" s="50" t="n"/>
      <c r="BC110" s="50" t="n"/>
      <c r="BD110" s="62" t="n"/>
      <c r="BE110" s="62" t="n"/>
      <c r="BF110" s="62" t="n"/>
      <c r="BG110" s="62" t="n"/>
      <c r="BH110" s="62" t="n"/>
      <c r="BI110" s="62" t="n"/>
      <c r="BJ110" s="62" t="n"/>
      <c r="BK110" s="66" t="n"/>
      <c r="BL110" s="66" t="n"/>
      <c r="BM110" s="66" t="n"/>
      <c r="BN110" s="66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52" t="n"/>
      <c r="BZ110" s="153" t="n"/>
      <c r="CA110" s="153" t="n"/>
      <c r="CB110" s="66" t="n"/>
      <c r="CC110" s="154" t="n"/>
      <c r="CD110" s="66" t="n"/>
      <c r="CE110" s="66" t="n"/>
      <c r="CF110" s="69" t="n"/>
      <c r="CG110" s="69" t="n"/>
      <c r="CH110" s="69" t="n"/>
      <c r="CI110" s="69" t="n"/>
      <c r="CJ110" s="69" t="n"/>
      <c r="CK110" s="69" t="n"/>
      <c r="CL110" s="69" t="n"/>
      <c r="CM110" s="17" t="n"/>
      <c r="CN110" s="17" t="n"/>
      <c r="CO110" s="38">
        <f>SUM(L110+M110+N110+BK110)/65+SUM(V110+W110)/44+SUM(AE110+AF110+AG110+AH110+AI110+BO110+BP110+BQ110+CF110+CG110)/45+SUM(AV110+AW110+BD110+BE110)/60</f>
        <v/>
      </c>
      <c r="CP110" s="38">
        <f>SUM(O110+P110+Q110+BL110+BM110+CB110+CC110)/65+SUM(X110+Y110)/44+SUM(AJ110+AK110+AM110+AN110+AO110+AP110+AQ110+BR110+BS110+BT110+BU110+BV110+CH110+CI110+CJ110+CK110)/45+SUM(AX110+AY110+AZ110+BA110+BF110+BG110+BH110)/60+SUM(AL110+BZ110)/50</f>
        <v/>
      </c>
      <c r="CQ110" s="38">
        <f>SUM(R110+S110+BN110+CD110+CE110)/65+SUM(AB110)/36+SUM(AR110+AS110+BW110+BX110+CL110+CM110)/40+SUM(BB110+BC110+BI110+BJ110)/60</f>
        <v/>
      </c>
      <c r="CR110" s="38">
        <f>SUM(Z110+AA110)/44</f>
        <v/>
      </c>
      <c r="CS110" s="38">
        <f>SUM(T110)/65+SUM(AC110+AD110)/40+SUM(AT110+AU110)/54</f>
        <v/>
      </c>
      <c r="CT110" s="38">
        <f>SUM(BY110+CN110)/45</f>
        <v/>
      </c>
      <c r="CU110" s="83">
        <f>SUM(U110)/75+SUM(CA110)/60</f>
        <v/>
      </c>
      <c r="CV110" s="155">
        <f>#REF!+B110-L110</f>
        <v/>
      </c>
      <c r="CW110" s="155">
        <f>CW109+C110-M110</f>
        <v/>
      </c>
      <c r="CX110" s="155">
        <f>CX109+D110-N110</f>
        <v/>
      </c>
      <c r="CY110" s="155">
        <f>CY109+E110-O110</f>
        <v/>
      </c>
      <c r="CZ110" s="155">
        <f>CZ109+F110-P110</f>
        <v/>
      </c>
      <c r="DA110" s="155">
        <f>DA109+G110-Q110</f>
        <v/>
      </c>
      <c r="DB110" s="155">
        <f>DB109+H110-R110</f>
        <v/>
      </c>
      <c r="DC110" s="155">
        <f>DC109+I110-S110</f>
        <v/>
      </c>
      <c r="DD110" s="155">
        <f>DD109+J110-T110</f>
        <v/>
      </c>
      <c r="DE110" s="156" t="n"/>
    </row>
    <row r="111" ht="20.25" customHeight="1">
      <c r="A111" s="6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65" t="n"/>
      <c r="L111" s="63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52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52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50" t="n"/>
      <c r="AW111" s="50" t="n"/>
      <c r="AX111" s="50" t="n"/>
      <c r="AY111" s="50" t="n"/>
      <c r="AZ111" s="50" t="n"/>
      <c r="BA111" s="50" t="n"/>
      <c r="BB111" s="50" t="n"/>
      <c r="BC111" s="50" t="n"/>
      <c r="BD111" s="62" t="n"/>
      <c r="BE111" s="62" t="n"/>
      <c r="BF111" s="62" t="n"/>
      <c r="BG111" s="62" t="n"/>
      <c r="BH111" s="62" t="n"/>
      <c r="BI111" s="62" t="n"/>
      <c r="BJ111" s="62" t="n"/>
      <c r="BK111" s="66" t="n"/>
      <c r="BL111" s="66" t="n"/>
      <c r="BM111" s="66" t="n"/>
      <c r="BN111" s="66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52" t="n"/>
      <c r="BZ111" s="153" t="n"/>
      <c r="CA111" s="153" t="n"/>
      <c r="CB111" s="66" t="n"/>
      <c r="CC111" s="154" t="n"/>
      <c r="CD111" s="66" t="n"/>
      <c r="CE111" s="66" t="n"/>
      <c r="CF111" s="69" t="n"/>
      <c r="CG111" s="69" t="n"/>
      <c r="CH111" s="69" t="n"/>
      <c r="CI111" s="69" t="n"/>
      <c r="CJ111" s="69" t="n"/>
      <c r="CK111" s="69" t="n"/>
      <c r="CL111" s="69" t="n"/>
      <c r="CM111" s="17" t="n"/>
      <c r="CN111" s="17" t="n"/>
      <c r="CO111" s="38">
        <f>SUM(L111+M111+N111+BK111)/65+SUM(V111+W111)/44+SUM(AE111+AF111+AG111+AH111+AI111+BO111+BP111+BQ111+CF111+CG111)/45+SUM(AV111+AW111+BD111+BE111)/60</f>
        <v/>
      </c>
      <c r="CP111" s="38">
        <f>SUM(O111+P111+Q111+BL111+BM111+CB111+CC111)/65+SUM(X111+Y111)/44+SUM(AJ111+AK111+AM111+AN111+AO111+AP111+AQ111+BR111+BS111+BT111+BU111+BV111+CH111+CI111+CJ111+CK111)/45+SUM(AX111+AY111+AZ111+BA111+BF111+BG111+BH111)/60+SUM(AL111+BZ111)/50</f>
        <v/>
      </c>
      <c r="CQ111" s="38">
        <f>SUM(R111+S111+BN111+CD111+CE111)/65+SUM(AB111)/36+SUM(AR111+AS111+BW111+BX111+CL111+CM111)/40+SUM(BB111+BC111+BI111+BJ111)/60</f>
        <v/>
      </c>
      <c r="CR111" s="38">
        <f>SUM(Z111+AA111)/44</f>
        <v/>
      </c>
      <c r="CS111" s="38">
        <f>SUM(T111)/65+SUM(AC111+AD111)/40+SUM(AT111+AU111)/54</f>
        <v/>
      </c>
      <c r="CT111" s="38">
        <f>SUM(BY111+CN111)/45</f>
        <v/>
      </c>
      <c r="CU111" s="83">
        <f>SUM(U111)/75+SUM(CA111)/60</f>
        <v/>
      </c>
      <c r="CV111" s="155">
        <f>CV105+B111-L111</f>
        <v/>
      </c>
      <c r="CW111" s="155">
        <f>CW110+C111-M111</f>
        <v/>
      </c>
      <c r="CX111" s="155">
        <f>CX110+D111-N111</f>
        <v/>
      </c>
      <c r="CY111" s="155">
        <f>CY110+E111-O111</f>
        <v/>
      </c>
      <c r="CZ111" s="155">
        <f>CZ110+F111-P111</f>
        <v/>
      </c>
      <c r="DA111" s="155">
        <f>DA110+G111-Q111</f>
        <v/>
      </c>
      <c r="DB111" s="155">
        <f>DB110+H111-R111</f>
        <v/>
      </c>
      <c r="DC111" s="155">
        <f>DC110+I111-S111</f>
        <v/>
      </c>
      <c r="DD111" s="155">
        <f>DD110+J111-T111</f>
        <v/>
      </c>
      <c r="DE111" s="156" t="n"/>
    </row>
    <row r="112" ht="20.25" customHeight="1">
      <c r="A112" s="61" t="n"/>
      <c r="B112" s="152" t="n"/>
      <c r="C112" s="152" t="n"/>
      <c r="D112" s="152" t="n"/>
      <c r="E112" s="152" t="n"/>
      <c r="F112" s="152" t="n"/>
      <c r="G112" s="152" t="n"/>
      <c r="H112" s="152" t="n"/>
      <c r="I112" s="152" t="n"/>
      <c r="J112" s="152" t="n"/>
      <c r="K112" s="65" t="n"/>
      <c r="L112" s="63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52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52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50" t="n"/>
      <c r="AW112" s="50" t="n"/>
      <c r="AX112" s="50" t="n"/>
      <c r="AY112" s="50" t="n"/>
      <c r="AZ112" s="50" t="n"/>
      <c r="BA112" s="50" t="n"/>
      <c r="BB112" s="50" t="n"/>
      <c r="BC112" s="50" t="n"/>
      <c r="BD112" s="62" t="n"/>
      <c r="BE112" s="62" t="n"/>
      <c r="BF112" s="62" t="n"/>
      <c r="BG112" s="62" t="n"/>
      <c r="BH112" s="62" t="n"/>
      <c r="BI112" s="62" t="n"/>
      <c r="BJ112" s="62" t="n"/>
      <c r="BK112" s="66" t="n"/>
      <c r="BL112" s="66" t="n"/>
      <c r="BM112" s="66" t="n"/>
      <c r="BN112" s="66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52" t="n"/>
      <c r="BZ112" s="153" t="n"/>
      <c r="CA112" s="153" t="n"/>
      <c r="CB112" s="66" t="n"/>
      <c r="CC112" s="154" t="n"/>
      <c r="CD112" s="66" t="n"/>
      <c r="CE112" s="66" t="n"/>
      <c r="CF112" s="69" t="n"/>
      <c r="CG112" s="69" t="n"/>
      <c r="CH112" s="69" t="n"/>
      <c r="CI112" s="69" t="n"/>
      <c r="CJ112" s="69" t="n"/>
      <c r="CK112" s="69" t="n"/>
      <c r="CL112" s="69" t="n"/>
      <c r="CM112" s="17" t="n"/>
      <c r="CN112" s="17" t="n"/>
      <c r="CO112" s="38">
        <f>SUM(L112+M112+N112+BK112)/65+SUM(V112+W112)/44+SUM(AE112+AF112+AG112+AH112+AI112+BO112+BP112+BQ112+CF112+CG112)/45+SUM(AV112+AW112+BD112+BE112)/60</f>
        <v/>
      </c>
      <c r="CP112" s="38">
        <f>SUM(O112+P112+Q112+BL112+BM112+CB112+CC112)/65+SUM(X112+Y112)/44+SUM(AJ112+AK112+AM112+AN112+AO112+AP112+AQ112+BR112+BS112+BT112+BU112+BV112+CH112+CI112+CJ112+CK112)/45+SUM(AX112+AY112+AZ112+BA112+BF112+BG112+BH112)/60+SUM(AL112+BZ112)/50</f>
        <v/>
      </c>
      <c r="CQ112" s="38">
        <f>SUM(R112+S112+BN112+CD112+CE112)/65+SUM(AB112)/36+SUM(AR112+AS112+BW112+BX112+CL112+CM112)/40+SUM(BB112+BC112+BI112+BJ112)/60</f>
        <v/>
      </c>
      <c r="CR112" s="38">
        <f>SUM(Z112+AA112)/44</f>
        <v/>
      </c>
      <c r="CS112" s="38">
        <f>SUM(T112)/65+SUM(AC112+AD112)/40+SUM(AT112+AU112)/54</f>
        <v/>
      </c>
      <c r="CT112" s="38">
        <f>SUM(BY112+CN112)/45</f>
        <v/>
      </c>
      <c r="CU112" s="83">
        <f>SUM(U112)/75+SUM(CA112)/60</f>
        <v/>
      </c>
      <c r="CV112" s="157">
        <f>CV111+B112-L112</f>
        <v/>
      </c>
      <c r="CW112" s="155">
        <f>CW111+C112-M112</f>
        <v/>
      </c>
      <c r="CX112" s="155">
        <f>CX111+D112-N112</f>
        <v/>
      </c>
      <c r="CY112" s="155">
        <f>CY111+E112-O112</f>
        <v/>
      </c>
      <c r="CZ112" s="155">
        <f>CZ111+F112-P112</f>
        <v/>
      </c>
      <c r="DA112" s="155">
        <f>DA111+G112-Q112</f>
        <v/>
      </c>
      <c r="DB112" s="155">
        <f>DB111+H112-R112</f>
        <v/>
      </c>
      <c r="DC112" s="155">
        <f>DC111+I112-S112</f>
        <v/>
      </c>
      <c r="DD112" s="155">
        <f>DD111+J112-T112</f>
        <v/>
      </c>
      <c r="DE112" s="156" t="n"/>
    </row>
    <row r="113" ht="20.25" customHeight="1">
      <c r="A113" s="6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65" t="n"/>
      <c r="L113" s="63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52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52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50" t="n"/>
      <c r="AW113" s="50" t="n"/>
      <c r="AX113" s="50" t="n"/>
      <c r="AY113" s="50" t="n"/>
      <c r="AZ113" s="50" t="n"/>
      <c r="BA113" s="50" t="n"/>
      <c r="BB113" s="50" t="n"/>
      <c r="BC113" s="50" t="n"/>
      <c r="BD113" s="62" t="n"/>
      <c r="BE113" s="62" t="n"/>
      <c r="BF113" s="62" t="n"/>
      <c r="BG113" s="62" t="n"/>
      <c r="BH113" s="62" t="n"/>
      <c r="BI113" s="62" t="n"/>
      <c r="BJ113" s="62" t="n"/>
      <c r="BK113" s="66" t="n"/>
      <c r="BL113" s="66" t="n"/>
      <c r="BM113" s="66" t="n"/>
      <c r="BN113" s="66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52" t="n"/>
      <c r="BZ113" s="153" t="n"/>
      <c r="CA113" s="153" t="n"/>
      <c r="CB113" s="66" t="n"/>
      <c r="CC113" s="154" t="n"/>
      <c r="CD113" s="66" t="n"/>
      <c r="CE113" s="66" t="n"/>
      <c r="CF113" s="69" t="n"/>
      <c r="CG113" s="69" t="n"/>
      <c r="CH113" s="69" t="n"/>
      <c r="CI113" s="69" t="n"/>
      <c r="CJ113" s="69" t="n"/>
      <c r="CK113" s="69" t="n"/>
      <c r="CL113" s="69" t="n"/>
      <c r="CM113" s="17" t="n"/>
      <c r="CN113" s="17" t="n"/>
      <c r="CO113" s="38">
        <f>SUM(L113+M113+N113+BK113)/65+SUM(V113+W113)/44+SUM(AE113+AF113+AG113+AH113+AI113+BO113+BP113+BQ113+CF113+CG113)/45+SUM(AV113+AW113+BD113+BE113)/60</f>
        <v/>
      </c>
      <c r="CP113" s="38">
        <f>SUM(O113+P113+Q113+BL113+BM113+CB113+CC113)/65+SUM(X113+Y113)/44+SUM(AJ113+AK113+AM113+AN113+AO113+AP113+AQ113+BR113+BS113+BT113+BU113+BV113+CH113+CI113+CJ113+CK113)/45+SUM(AX113+AY113+AZ113+BA113+BF113+BG113+BH113)/60+SUM(AL113+BZ113)/50</f>
        <v/>
      </c>
      <c r="CQ113" s="38">
        <f>SUM(R113+S113+BN113+CD113+CE113)/65+SUM(AB113)/36+SUM(AR113+AS113+BW113+BX113+CL113+CM113)/40+SUM(BB113+BC113+BI113+BJ113)/60</f>
        <v/>
      </c>
      <c r="CR113" s="38">
        <f>SUM(Z113+AA113)/44</f>
        <v/>
      </c>
      <c r="CS113" s="38">
        <f>SUM(T113)/65+SUM(AC113+AD113)/40+SUM(AT113+AU113)/54</f>
        <v/>
      </c>
      <c r="CT113" s="38">
        <f>SUM(BY113+CN113)/45</f>
        <v/>
      </c>
      <c r="CU113" s="83">
        <f>SUM(U113)/75+SUM(CA113)/60</f>
        <v/>
      </c>
      <c r="CV113" s="155">
        <f>CV21+B113-L113</f>
        <v/>
      </c>
      <c r="CW113" s="155">
        <f>CW112+C113-M113</f>
        <v/>
      </c>
      <c r="CX113" s="155">
        <f>CX112+D113-N113</f>
        <v/>
      </c>
      <c r="CY113" s="155">
        <f>CY112+E113-O113</f>
        <v/>
      </c>
      <c r="CZ113" s="155">
        <f>CZ112+F113-P113</f>
        <v/>
      </c>
      <c r="DA113" s="155">
        <f>DA112+G113-Q113</f>
        <v/>
      </c>
      <c r="DB113" s="155">
        <f>DB112+H113-R113</f>
        <v/>
      </c>
      <c r="DC113" s="155">
        <f>DC112+I113-S113</f>
        <v/>
      </c>
      <c r="DD113" s="155">
        <f>DD112+J113-T113</f>
        <v/>
      </c>
      <c r="DE113" s="156" t="n"/>
    </row>
    <row r="114" ht="20.25" customHeight="1">
      <c r="A114" s="6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65" t="n"/>
      <c r="L114" s="63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52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52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50" t="n"/>
      <c r="AW114" s="50" t="n"/>
      <c r="AX114" s="50" t="n"/>
      <c r="AY114" s="50" t="n"/>
      <c r="AZ114" s="50" t="n"/>
      <c r="BA114" s="50" t="n"/>
      <c r="BB114" s="50" t="n"/>
      <c r="BC114" s="50" t="n"/>
      <c r="BD114" s="62" t="n"/>
      <c r="BE114" s="62" t="n"/>
      <c r="BF114" s="62" t="n"/>
      <c r="BG114" s="62" t="n"/>
      <c r="BH114" s="62" t="n"/>
      <c r="BI114" s="62" t="n"/>
      <c r="BJ114" s="62" t="n"/>
      <c r="BK114" s="66" t="n"/>
      <c r="BL114" s="66" t="n"/>
      <c r="BM114" s="66" t="n"/>
      <c r="BN114" s="66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52" t="n"/>
      <c r="BZ114" s="153" t="n"/>
      <c r="CA114" s="153" t="n"/>
      <c r="CB114" s="66" t="n"/>
      <c r="CC114" s="154" t="n"/>
      <c r="CD114" s="66" t="n"/>
      <c r="CE114" s="66" t="n"/>
      <c r="CF114" s="69" t="n"/>
      <c r="CG114" s="69" t="n"/>
      <c r="CH114" s="69" t="n"/>
      <c r="CI114" s="69" t="n"/>
      <c r="CJ114" s="69" t="n"/>
      <c r="CK114" s="69" t="n"/>
      <c r="CL114" s="69" t="n"/>
      <c r="CM114" s="17" t="n"/>
      <c r="CN114" s="17" t="n"/>
      <c r="CO114" s="38">
        <f>SUM(L114+M114+N114+BK114)/65+SUM(V114+W114)/44+SUM(AE114+AF114+AG114+AH114+AI114+BO114+BP114+BQ114+CF114+CG114)/45+SUM(AV114+AW114+BD114+BE114)/60</f>
        <v/>
      </c>
      <c r="CP114" s="38">
        <f>SUM(O114+P114+Q114+BL114+BM114+CB114+CC114)/65+SUM(X114+Y114)/44+SUM(AJ114+AK114+AM114+AN114+AO114+AP114+AQ114+BR114+BS114+BT114+BU114+BV114+CH114+CI114+CJ114+CK114)/45+SUM(AX114+AY114+AZ114+BA114+BF114+BG114+BH114)/60+SUM(AL114+BZ114)/50</f>
        <v/>
      </c>
      <c r="CQ114" s="38">
        <f>SUM(R114+S114+BN114+CD114+CE114)/65+SUM(AB114)/36+SUM(AR114+AS114+BW114+BX114+CL114+CM114)/40+SUM(BB114+BC114+BI114+BJ114)/60</f>
        <v/>
      </c>
      <c r="CR114" s="38">
        <f>SUM(Z114+AA114)/44</f>
        <v/>
      </c>
      <c r="CS114" s="38">
        <f>SUM(T114)/65+SUM(AC114+AD114)/40+SUM(AT114+AU114)/54</f>
        <v/>
      </c>
      <c r="CT114" s="38">
        <f>SUM(BY114+CN114)/45</f>
        <v/>
      </c>
      <c r="CU114" s="83">
        <f>SUM(U114)/75+SUM(CA114)/60</f>
        <v/>
      </c>
      <c r="CV114" s="155">
        <f>#REF!+B114-L114</f>
        <v/>
      </c>
      <c r="CW114" s="155">
        <f>CW113+C114-M114</f>
        <v/>
      </c>
      <c r="CX114" s="155">
        <f>CX113+D114-N114</f>
        <v/>
      </c>
      <c r="CY114" s="155">
        <f>CY113+E114-O114</f>
        <v/>
      </c>
      <c r="CZ114" s="155">
        <f>CZ113+F114-P114</f>
        <v/>
      </c>
      <c r="DA114" s="155">
        <f>DA113+G114-Q114</f>
        <v/>
      </c>
      <c r="DB114" s="155">
        <f>DB113+H114-R114</f>
        <v/>
      </c>
      <c r="DC114" s="155">
        <f>DC113+I114-S114</f>
        <v/>
      </c>
      <c r="DD114" s="155">
        <f>DD113+J114-T114</f>
        <v/>
      </c>
      <c r="DE114" s="156" t="n"/>
    </row>
    <row r="115" ht="20.25" customHeight="1">
      <c r="A115" s="6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65" t="n"/>
      <c r="L115" s="63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52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52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50" t="n"/>
      <c r="AW115" s="50" t="n"/>
      <c r="AX115" s="50" t="n"/>
      <c r="AY115" s="50" t="n"/>
      <c r="AZ115" s="50" t="n"/>
      <c r="BA115" s="50" t="n"/>
      <c r="BB115" s="50" t="n"/>
      <c r="BC115" s="50" t="n"/>
      <c r="BD115" s="62" t="n"/>
      <c r="BE115" s="62" t="n"/>
      <c r="BF115" s="62" t="n"/>
      <c r="BG115" s="62" t="n"/>
      <c r="BH115" s="62" t="n"/>
      <c r="BI115" s="62" t="n"/>
      <c r="BJ115" s="62" t="n"/>
      <c r="BK115" s="66" t="n"/>
      <c r="BL115" s="66" t="n"/>
      <c r="BM115" s="66" t="n"/>
      <c r="BN115" s="66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52" t="n"/>
      <c r="BZ115" s="153" t="n"/>
      <c r="CA115" s="153" t="n"/>
      <c r="CB115" s="66" t="n"/>
      <c r="CC115" s="154" t="n"/>
      <c r="CD115" s="66" t="n"/>
      <c r="CE115" s="66" t="n"/>
      <c r="CF115" s="69" t="n"/>
      <c r="CG115" s="69" t="n"/>
      <c r="CH115" s="69" t="n"/>
      <c r="CI115" s="69" t="n"/>
      <c r="CJ115" s="69" t="n"/>
      <c r="CK115" s="69" t="n"/>
      <c r="CL115" s="69" t="n"/>
      <c r="CM115" s="17" t="n"/>
      <c r="CN115" s="17" t="n"/>
      <c r="CO115" s="38">
        <f>SUM(L115+M115+N115+BK115)/65+SUM(V115+W115)/44+SUM(AE115+AF115+AG115+AH115+AI115+BO115+BP115+BQ115+CF115+CG115)/45+SUM(AV115+AW115+BD115+BE115)/60</f>
        <v/>
      </c>
      <c r="CP115" s="38">
        <f>SUM(O115+P115+Q115+BL115+BM115+CB115+CC115)/65+SUM(X115+Y115)/44+SUM(AJ115+AK115+AM115+AN115+AO115+AP115+AQ115+BR115+BS115+BT115+BU115+BV115+CH115+CI115+CJ115+CK115)/45+SUM(AX115+AY115+AZ115+BA115+BF115+BG115+BH115)/60+SUM(AL115+BZ115)/50</f>
        <v/>
      </c>
      <c r="CQ115" s="38">
        <f>SUM(R115+S115+BN115+CD115+CE115)/65+SUM(AB115)/36+SUM(AR115+AS115+BW115+BX115+CL115+CM115)/40+SUM(BB115+BC115+BI115+BJ115)/60</f>
        <v/>
      </c>
      <c r="CR115" s="38">
        <f>SUM(Z115+AA115)/44</f>
        <v/>
      </c>
      <c r="CS115" s="38">
        <f>SUM(T115)/65+SUM(AC115+AD115)/40+SUM(AT115+AU115)/54</f>
        <v/>
      </c>
      <c r="CT115" s="38">
        <f>SUM(BY115+CN115)/45</f>
        <v/>
      </c>
      <c r="CU115" s="83">
        <f>SUM(U115)/75+SUM(CA115)/60</f>
        <v/>
      </c>
      <c r="CV115" s="155">
        <f>#REF!+B115-L115</f>
        <v/>
      </c>
      <c r="CW115" s="155">
        <f>CW114+C115-M115</f>
        <v/>
      </c>
      <c r="CX115" s="155">
        <f>CX114+D115-N115</f>
        <v/>
      </c>
      <c r="CY115" s="155">
        <f>CY114+E115-O115</f>
        <v/>
      </c>
      <c r="CZ115" s="155">
        <f>CZ114+F115-P115</f>
        <v/>
      </c>
      <c r="DA115" s="155">
        <f>DA114+G115-Q115</f>
        <v/>
      </c>
      <c r="DB115" s="155">
        <f>DB114+H115-R115</f>
        <v/>
      </c>
      <c r="DC115" s="155">
        <f>DC114+I115-S115</f>
        <v/>
      </c>
      <c r="DD115" s="155">
        <f>DD114+J115-T115</f>
        <v/>
      </c>
      <c r="DE115" s="156" t="n"/>
    </row>
    <row r="116" ht="20.25" customHeight="1">
      <c r="A116" s="6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65" t="n"/>
      <c r="L116" s="63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52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52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50" t="n"/>
      <c r="AW116" s="50" t="n"/>
      <c r="AX116" s="50" t="n"/>
      <c r="AY116" s="50" t="n"/>
      <c r="AZ116" s="50" t="n"/>
      <c r="BA116" s="50" t="n"/>
      <c r="BB116" s="50" t="n"/>
      <c r="BC116" s="50" t="n"/>
      <c r="BD116" s="62" t="n"/>
      <c r="BE116" s="62" t="n"/>
      <c r="BF116" s="62" t="n"/>
      <c r="BG116" s="62" t="n"/>
      <c r="BH116" s="62" t="n"/>
      <c r="BI116" s="62" t="n"/>
      <c r="BJ116" s="62" t="n"/>
      <c r="BK116" s="66" t="n"/>
      <c r="BL116" s="66" t="n"/>
      <c r="BM116" s="66" t="n"/>
      <c r="BN116" s="66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52" t="n"/>
      <c r="BZ116" s="153" t="n"/>
      <c r="CA116" s="153" t="n"/>
      <c r="CB116" s="66" t="n"/>
      <c r="CC116" s="154" t="n"/>
      <c r="CD116" s="66" t="n"/>
      <c r="CE116" s="66" t="n"/>
      <c r="CF116" s="69" t="n"/>
      <c r="CG116" s="69" t="n"/>
      <c r="CH116" s="69" t="n"/>
      <c r="CI116" s="69" t="n"/>
      <c r="CJ116" s="69" t="n"/>
      <c r="CK116" s="69" t="n"/>
      <c r="CL116" s="69" t="n"/>
      <c r="CM116" s="17" t="n"/>
      <c r="CN116" s="17" t="n"/>
      <c r="CO116" s="38">
        <f>SUM(L116+M116+N116+BK116)/65+SUM(V116+W116)/44+SUM(AE116+AF116+AG116+AH116+AI116+BO116+BP116+BQ116+CF116+CG116)/45+SUM(AV116+AW116+BD116+BE116)/60</f>
        <v/>
      </c>
      <c r="CP116" s="38">
        <f>SUM(O116+P116+Q116+BL116+BM116+CB116+CC116)/65+SUM(X116+Y116)/44+SUM(AJ116+AK116+AM116+AN116+AO116+AP116+AQ116+BR116+BS116+BT116+BU116+BV116+CH116+CI116+CJ116+CK116)/45+SUM(AX116+AY116+AZ116+BA116+BF116+BG116+BH116)/60+SUM(AL116+BZ116)/50</f>
        <v/>
      </c>
      <c r="CQ116" s="38">
        <f>SUM(R116+S116+BN116+CD116+CE116)/65+SUM(AB116)/36+SUM(AR116+AS116+BW116+BX116+CL116+CM116)/40+SUM(BB116+BC116+BI116+BJ116)/60</f>
        <v/>
      </c>
      <c r="CR116" s="38">
        <f>SUM(Z116+AA116)/44</f>
        <v/>
      </c>
      <c r="CS116" s="38">
        <f>SUM(T116)/65+SUM(AC116+AD116)/40+SUM(AT116+AU116)/54</f>
        <v/>
      </c>
      <c r="CT116" s="38">
        <f>SUM(BY116+CN116)/45</f>
        <v/>
      </c>
      <c r="CU116" s="83">
        <f>SUM(U116)/75+SUM(CA116)/60</f>
        <v/>
      </c>
      <c r="CV116" s="155">
        <f>#REF!+B116-L116</f>
        <v/>
      </c>
      <c r="CW116" s="155">
        <f>CW115+C116-M116</f>
        <v/>
      </c>
      <c r="CX116" s="155">
        <f>CX115+D116-N116</f>
        <v/>
      </c>
      <c r="CY116" s="155">
        <f>CY115+E116-O116</f>
        <v/>
      </c>
      <c r="CZ116" s="155">
        <f>CZ115+F116-P116</f>
        <v/>
      </c>
      <c r="DA116" s="155">
        <f>DA115+G116-Q116</f>
        <v/>
      </c>
      <c r="DB116" s="155">
        <f>DB115+H116-R116</f>
        <v/>
      </c>
      <c r="DC116" s="155">
        <f>DC115+I116-S116</f>
        <v/>
      </c>
      <c r="DD116" s="155">
        <f>DD115+J116-T116</f>
        <v/>
      </c>
      <c r="DE116" s="156" t="n"/>
    </row>
    <row r="117" ht="20.25" customHeight="1">
      <c r="A117" s="6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65" t="n"/>
      <c r="L117" s="63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52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52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50" t="n"/>
      <c r="AW117" s="50" t="n"/>
      <c r="AX117" s="50" t="n"/>
      <c r="AY117" s="50" t="n"/>
      <c r="AZ117" s="50" t="n"/>
      <c r="BA117" s="50" t="n"/>
      <c r="BB117" s="50" t="n"/>
      <c r="BC117" s="50" t="n"/>
      <c r="BD117" s="62" t="n"/>
      <c r="BE117" s="62" t="n"/>
      <c r="BF117" s="62" t="n"/>
      <c r="BG117" s="62" t="n"/>
      <c r="BH117" s="62" t="n"/>
      <c r="BI117" s="62" t="n"/>
      <c r="BJ117" s="62" t="n"/>
      <c r="BK117" s="66" t="n"/>
      <c r="BL117" s="66" t="n"/>
      <c r="BM117" s="66" t="n"/>
      <c r="BN117" s="66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52" t="n"/>
      <c r="BZ117" s="153" t="n"/>
      <c r="CA117" s="153" t="n"/>
      <c r="CB117" s="66" t="n"/>
      <c r="CC117" s="154" t="n"/>
      <c r="CD117" s="66" t="n"/>
      <c r="CE117" s="66" t="n"/>
      <c r="CF117" s="69" t="n"/>
      <c r="CG117" s="69" t="n"/>
      <c r="CH117" s="69" t="n"/>
      <c r="CI117" s="69" t="n"/>
      <c r="CJ117" s="69" t="n"/>
      <c r="CK117" s="69" t="n"/>
      <c r="CL117" s="69" t="n"/>
      <c r="CM117" s="17" t="n"/>
      <c r="CN117" s="17" t="n"/>
      <c r="CO117" s="38">
        <f>SUM(L117+M117+N117+BK117)/65+SUM(V117+W117)/44+SUM(AE117+AF117+AG117+AH117+AI117+BO117+BP117+BQ117+CF117+CG117)/45+SUM(AV117+AW117+BD117+BE117)/60</f>
        <v/>
      </c>
      <c r="CP117" s="38">
        <f>SUM(O117+P117+Q117+BL117+BM117+CB117+CC117)/65+SUM(X117+Y117)/44+SUM(AJ117+AK117+AM117+AN117+AO117+AP117+AQ117+BR117+BS117+BT117+BU117+BV117+CH117+CI117+CJ117+CK117)/45+SUM(AX117+AY117+AZ117+BA117+BF117+BG117+BH117)/60+SUM(AL117+BZ117)/50</f>
        <v/>
      </c>
      <c r="CQ117" s="38">
        <f>SUM(R117+S117+BN117+CD117+CE117)/65+SUM(AB117)/36+SUM(AR117+AS117+BW117+BX117+CL117+CM117)/40+SUM(BB117+BC117+BI117+BJ117)/60</f>
        <v/>
      </c>
      <c r="CR117" s="38">
        <f>SUM(Z117+AA117)/44</f>
        <v/>
      </c>
      <c r="CS117" s="38">
        <f>SUM(T117)/65+SUM(AC117+AD117)/40+SUM(AT117+AU117)/54</f>
        <v/>
      </c>
      <c r="CT117" s="38">
        <f>SUM(BY117+CN117)/45</f>
        <v/>
      </c>
      <c r="CU117" s="83">
        <f>SUM(U117)/75+SUM(CA117)/60</f>
        <v/>
      </c>
      <c r="CV117" s="155">
        <f>CV108+B117-L117</f>
        <v/>
      </c>
      <c r="CW117" s="155">
        <f>CW116+C117-M117</f>
        <v/>
      </c>
      <c r="CX117" s="155">
        <f>CX116+D117-N117</f>
        <v/>
      </c>
      <c r="CY117" s="155">
        <f>CY116+E117-O117</f>
        <v/>
      </c>
      <c r="CZ117" s="155">
        <f>CZ116+F117-P117</f>
        <v/>
      </c>
      <c r="DA117" s="155">
        <f>DA116+G117-Q117</f>
        <v/>
      </c>
      <c r="DB117" s="155">
        <f>DB116+H117-R117</f>
        <v/>
      </c>
      <c r="DC117" s="155">
        <f>DC116+I117-S117</f>
        <v/>
      </c>
      <c r="DD117" s="155">
        <f>DD116+J117-T117</f>
        <v/>
      </c>
      <c r="DE117" s="156" t="n"/>
    </row>
    <row r="118" ht="20.25" customHeight="1">
      <c r="A118" s="61" t="n"/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65" t="n"/>
      <c r="L118" s="63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52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52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50" t="n"/>
      <c r="AW118" s="50" t="n"/>
      <c r="AX118" s="50" t="n"/>
      <c r="AY118" s="50" t="n"/>
      <c r="AZ118" s="50" t="n"/>
      <c r="BA118" s="50" t="n"/>
      <c r="BB118" s="50" t="n"/>
      <c r="BC118" s="50" t="n"/>
      <c r="BD118" s="62" t="n"/>
      <c r="BE118" s="62" t="n"/>
      <c r="BF118" s="62" t="n"/>
      <c r="BG118" s="62" t="n"/>
      <c r="BH118" s="62" t="n"/>
      <c r="BI118" s="62" t="n"/>
      <c r="BJ118" s="62" t="n"/>
      <c r="BK118" s="66" t="n"/>
      <c r="BL118" s="66" t="n"/>
      <c r="BM118" s="66" t="n"/>
      <c r="BN118" s="66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52" t="n"/>
      <c r="BZ118" s="153" t="n"/>
      <c r="CA118" s="153" t="n"/>
      <c r="CB118" s="66" t="n"/>
      <c r="CC118" s="154" t="n"/>
      <c r="CD118" s="66" t="n"/>
      <c r="CE118" s="66" t="n"/>
      <c r="CF118" s="69" t="n"/>
      <c r="CG118" s="69" t="n"/>
      <c r="CH118" s="69" t="n"/>
      <c r="CI118" s="69" t="n"/>
      <c r="CJ118" s="69" t="n"/>
      <c r="CK118" s="69" t="n"/>
      <c r="CL118" s="69" t="n"/>
      <c r="CM118" s="17" t="n"/>
      <c r="CN118" s="17" t="n"/>
      <c r="CO118" s="38">
        <f>SUM(L118+M118+N118+BK118)/65+SUM(V118+W118)/44+SUM(AE118+AF118+AG118+AH118+AI118+BO118+BP118+BQ118+CF118+CG118)/45+SUM(AV118+AW118+BD118+BE118)/60</f>
        <v/>
      </c>
      <c r="CP118" s="38">
        <f>SUM(O118+P118+Q118+BL118+BM118+CB118+CC118)/65+SUM(X118+Y118)/44+SUM(AJ118+AK118+AM118+AN118+AO118+AP118+AQ118+BR118+BS118+BT118+BU118+BV118+CH118+CI118+CJ118+CK118)/45+SUM(AX118+AY118+AZ118+BA118+BF118+BG118+BH118)/60+SUM(AL118+BZ118)/50</f>
        <v/>
      </c>
      <c r="CQ118" s="38">
        <f>SUM(R118+S118+BN118+CD118+CE118)/65+SUM(AB118)/36+SUM(AR118+AS118+BW118+BX118+CL118+CM118)/40+SUM(BB118+BC118+BI118+BJ118)/60</f>
        <v/>
      </c>
      <c r="CR118" s="38">
        <f>SUM(Z118+AA118)/44</f>
        <v/>
      </c>
      <c r="CS118" s="38">
        <f>SUM(T118)/65+SUM(AC118+AD118)/40+SUM(AT118+AU118)/54</f>
        <v/>
      </c>
      <c r="CT118" s="38">
        <f>SUM(BY118+CN118)/45</f>
        <v/>
      </c>
      <c r="CU118" s="83">
        <f>SUM(U118)/75+SUM(CA118)/60</f>
        <v/>
      </c>
      <c r="CV118" s="157">
        <f>CV117+B118-L118</f>
        <v/>
      </c>
      <c r="CW118" s="155">
        <f>CW117+C118-M118</f>
        <v/>
      </c>
      <c r="CX118" s="155">
        <f>CX117+D118-N118</f>
        <v/>
      </c>
      <c r="CY118" s="155">
        <f>CY117+E118-O118</f>
        <v/>
      </c>
      <c r="CZ118" s="155">
        <f>CZ117+F118-P118</f>
        <v/>
      </c>
      <c r="DA118" s="155">
        <f>DA117+G118-Q118</f>
        <v/>
      </c>
      <c r="DB118" s="155">
        <f>DB117+H118-R118</f>
        <v/>
      </c>
      <c r="DC118" s="155">
        <f>DC117+I118-S118</f>
        <v/>
      </c>
      <c r="DD118" s="155">
        <f>DD117+J118-T118</f>
        <v/>
      </c>
      <c r="DE118" s="156" t="n"/>
    </row>
    <row r="119" ht="20.25" customHeight="1">
      <c r="A119" s="6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65" t="n"/>
      <c r="L119" s="63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52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52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50" t="n"/>
      <c r="AW119" s="50" t="n"/>
      <c r="AX119" s="50" t="n"/>
      <c r="AY119" s="50" t="n"/>
      <c r="AZ119" s="50" t="n"/>
      <c r="BA119" s="50" t="n"/>
      <c r="BB119" s="50" t="n"/>
      <c r="BC119" s="50" t="n"/>
      <c r="BD119" s="62" t="n"/>
      <c r="BE119" s="62" t="n"/>
      <c r="BF119" s="62" t="n"/>
      <c r="BG119" s="62" t="n"/>
      <c r="BH119" s="62" t="n"/>
      <c r="BI119" s="62" t="n"/>
      <c r="BJ119" s="62" t="n"/>
      <c r="BK119" s="66" t="n"/>
      <c r="BL119" s="66" t="n"/>
      <c r="BM119" s="66" t="n"/>
      <c r="BN119" s="66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52" t="n"/>
      <c r="BZ119" s="153" t="n"/>
      <c r="CA119" s="153" t="n"/>
      <c r="CB119" s="66" t="n"/>
      <c r="CC119" s="154" t="n"/>
      <c r="CD119" s="66" t="n"/>
      <c r="CE119" s="66" t="n"/>
      <c r="CF119" s="69" t="n"/>
      <c r="CG119" s="69" t="n"/>
      <c r="CH119" s="69" t="n"/>
      <c r="CI119" s="69" t="n"/>
      <c r="CJ119" s="69" t="n"/>
      <c r="CK119" s="69" t="n"/>
      <c r="CL119" s="69" t="n"/>
      <c r="CM119" s="17" t="n"/>
      <c r="CN119" s="17" t="n"/>
      <c r="CO119" s="38">
        <f>SUM(L119+M119+N119+BK119)/65+SUM(V119+W119)/44+SUM(AE119+AF119+AG119+AH119+AI119+BO119+BP119+BQ119+CF119+CG119)/45+SUM(AV119+AW119+BD119+BE119)/60</f>
        <v/>
      </c>
      <c r="CP119" s="38">
        <f>SUM(O119+P119+Q119+BL119+BM119+CB119+CC119)/65+SUM(X119+Y119)/44+SUM(AJ119+AK119+AM119+AN119+AO119+AP119+AQ119+BR119+BS119+BT119+BU119+BV119+CH119+CI119+CJ119+CK119)/45+SUM(AX119+AY119+AZ119+BA119+BF119+BG119+BH119)/60+SUM(AL119+BZ119)/50</f>
        <v/>
      </c>
      <c r="CQ119" s="38">
        <f>SUM(R119+S119+BN119+CD119+CE119)/65+SUM(AB119)/36+SUM(AR119+AS119+BW119+BX119+CL119+CM119)/40+SUM(BB119+BC119+BI119+BJ119)/60</f>
        <v/>
      </c>
      <c r="CR119" s="38">
        <f>SUM(Z119+AA119)/44</f>
        <v/>
      </c>
      <c r="CS119" s="38">
        <f>SUM(T119)/65+SUM(AC119+AD119)/40+SUM(AT119+AU119)/54</f>
        <v/>
      </c>
      <c r="CT119" s="38">
        <f>SUM(BY119+CN119)/45</f>
        <v/>
      </c>
      <c r="CU119" s="83">
        <f>SUM(U119)/75+SUM(CA119)/60</f>
        <v/>
      </c>
      <c r="CV119" s="155">
        <f>CV28+B119-L119</f>
        <v/>
      </c>
      <c r="CW119" s="155">
        <f>CW118+C119-M119</f>
        <v/>
      </c>
      <c r="CX119" s="155">
        <f>CX118+D119-N119</f>
        <v/>
      </c>
      <c r="CY119" s="155">
        <f>CY118+E119-O119</f>
        <v/>
      </c>
      <c r="CZ119" s="155">
        <f>CZ118+F119-P119</f>
        <v/>
      </c>
      <c r="DA119" s="155">
        <f>DA118+G119-Q119</f>
        <v/>
      </c>
      <c r="DB119" s="155">
        <f>DB118+H119-R119</f>
        <v/>
      </c>
      <c r="DC119" s="155">
        <f>DC118+I119-S119</f>
        <v/>
      </c>
      <c r="DD119" s="155">
        <f>DD118+J119-T119</f>
        <v/>
      </c>
      <c r="DE119" s="156" t="n"/>
    </row>
    <row r="120" ht="20.25" customHeight="1">
      <c r="A120" s="6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65" t="n"/>
      <c r="L120" s="63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52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52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50" t="n"/>
      <c r="AW120" s="50" t="n"/>
      <c r="AX120" s="50" t="n"/>
      <c r="AY120" s="50" t="n"/>
      <c r="AZ120" s="50" t="n"/>
      <c r="BA120" s="50" t="n"/>
      <c r="BB120" s="50" t="n"/>
      <c r="BC120" s="50" t="n"/>
      <c r="BD120" s="62" t="n"/>
      <c r="BE120" s="62" t="n"/>
      <c r="BF120" s="62" t="n"/>
      <c r="BG120" s="62" t="n"/>
      <c r="BH120" s="62" t="n"/>
      <c r="BI120" s="62" t="n"/>
      <c r="BJ120" s="62" t="n"/>
      <c r="BK120" s="66" t="n"/>
      <c r="BL120" s="66" t="n"/>
      <c r="BM120" s="66" t="n"/>
      <c r="BN120" s="66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52" t="n"/>
      <c r="BZ120" s="153" t="n"/>
      <c r="CA120" s="153" t="n"/>
      <c r="CB120" s="66" t="n"/>
      <c r="CC120" s="154" t="n"/>
      <c r="CD120" s="66" t="n"/>
      <c r="CE120" s="66" t="n"/>
      <c r="CF120" s="69" t="n"/>
      <c r="CG120" s="69" t="n"/>
      <c r="CH120" s="69" t="n"/>
      <c r="CI120" s="69" t="n"/>
      <c r="CJ120" s="69" t="n"/>
      <c r="CK120" s="69" t="n"/>
      <c r="CL120" s="69" t="n"/>
      <c r="CM120" s="17" t="n"/>
      <c r="CN120" s="17" t="n"/>
      <c r="CO120" s="38">
        <f>SUM(L120+M120+N120+BK120)/65+SUM(V120+W120)/44+SUM(AE120+AF120+AG120+AH120+AI120+BO120+BP120+BQ120+CF120+CG120)/45+SUM(AV120+AW120+BD120+BE120)/60</f>
        <v/>
      </c>
      <c r="CP120" s="38">
        <f>SUM(O120+P120+Q120+BL120+BM120+CB120+CC120)/65+SUM(X120+Y120)/44+SUM(AJ120+AK120+AM120+AN120+AO120+AP120+AQ120+BR120+BS120+BT120+BU120+BV120+CH120+CI120+CJ120+CK120)/45+SUM(AX120+AY120+AZ120+BA120+BF120+BG120+BH120)/60+SUM(AL120+BZ120)/50</f>
        <v/>
      </c>
      <c r="CQ120" s="38">
        <f>SUM(R120+S120+BN120+CD120+CE120)/65+SUM(AB120)/36+SUM(AR120+AS120+BW120+BX120+CL120+CM120)/40+SUM(BB120+BC120+BI120+BJ120)/60</f>
        <v/>
      </c>
      <c r="CR120" s="38">
        <f>SUM(Z120+AA120)/44</f>
        <v/>
      </c>
      <c r="CS120" s="38">
        <f>SUM(T120)/65+SUM(AC120+AD120)/40+SUM(AT120+AU120)/54</f>
        <v/>
      </c>
      <c r="CT120" s="38">
        <f>SUM(BY120+CN120)/45</f>
        <v/>
      </c>
      <c r="CU120" s="83">
        <f>SUM(U120)/75+SUM(CA120)/60</f>
        <v/>
      </c>
      <c r="CV120" s="155">
        <f>#REF!+B120-L120</f>
        <v/>
      </c>
      <c r="CW120" s="155">
        <f>CW119+C120-M120</f>
        <v/>
      </c>
      <c r="CX120" s="155">
        <f>CX119+D120-N120</f>
        <v/>
      </c>
      <c r="CY120" s="155">
        <f>CY119+E120-O120</f>
        <v/>
      </c>
      <c r="CZ120" s="155">
        <f>CZ119+F120-P120</f>
        <v/>
      </c>
      <c r="DA120" s="155">
        <f>DA119+G120-Q120</f>
        <v/>
      </c>
      <c r="DB120" s="155">
        <f>DB119+H120-R120</f>
        <v/>
      </c>
      <c r="DC120" s="155">
        <f>DC119+I120-S120</f>
        <v/>
      </c>
      <c r="DD120" s="155">
        <f>DD119+J120-T120</f>
        <v/>
      </c>
      <c r="DE120" s="156" t="n"/>
    </row>
    <row r="121" ht="20.25" customHeight="1">
      <c r="A121" s="6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65" t="n"/>
      <c r="L121" s="63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52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52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50" t="n"/>
      <c r="AW121" s="50" t="n"/>
      <c r="AX121" s="50" t="n"/>
      <c r="AY121" s="50" t="n"/>
      <c r="AZ121" s="50" t="n"/>
      <c r="BA121" s="50" t="n"/>
      <c r="BB121" s="50" t="n"/>
      <c r="BC121" s="50" t="n"/>
      <c r="BD121" s="62" t="n"/>
      <c r="BE121" s="62" t="n"/>
      <c r="BF121" s="62" t="n"/>
      <c r="BG121" s="62" t="n"/>
      <c r="BH121" s="62" t="n"/>
      <c r="BI121" s="62" t="n"/>
      <c r="BJ121" s="62" t="n"/>
      <c r="BK121" s="66" t="n"/>
      <c r="BL121" s="66" t="n"/>
      <c r="BM121" s="66" t="n"/>
      <c r="BN121" s="66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52" t="n"/>
      <c r="BZ121" s="153" t="n"/>
      <c r="CA121" s="153" t="n"/>
      <c r="CB121" s="66" t="n"/>
      <c r="CC121" s="154" t="n"/>
      <c r="CD121" s="66" t="n"/>
      <c r="CE121" s="66" t="n"/>
      <c r="CF121" s="69" t="n"/>
      <c r="CG121" s="69" t="n"/>
      <c r="CH121" s="69" t="n"/>
      <c r="CI121" s="69" t="n"/>
      <c r="CJ121" s="69" t="n"/>
      <c r="CK121" s="69" t="n"/>
      <c r="CL121" s="69" t="n"/>
      <c r="CM121" s="17" t="n"/>
      <c r="CN121" s="17" t="n"/>
      <c r="CO121" s="38">
        <f>SUM(L121+M121+N121+BK121)/65+SUM(V121+W121)/44+SUM(AE121+AF121+AG121+AH121+AI121+BO121+BP121+BQ121+CF121+CG121)/45+SUM(AV121+AW121+BD121+BE121)/60</f>
        <v/>
      </c>
      <c r="CP121" s="38">
        <f>SUM(O121+P121+Q121+BL121+BM121+CB121+CC121)/65+SUM(X121+Y121)/44+SUM(AJ121+AK121+AM121+AN121+AO121+AP121+AQ121+BR121+BS121+BT121+BU121+BV121+CH121+CI121+CJ121+CK121)/45+SUM(AX121+AY121+AZ121+BA121+BF121+BG121+BH121)/60+SUM(AL121+BZ121)/50</f>
        <v/>
      </c>
      <c r="CQ121" s="38">
        <f>SUM(R121+S121+BN121+CD121+CE121)/65+SUM(AB121)/36+SUM(AR121+AS121+BW121+BX121+CL121+CM121)/40+SUM(BB121+BC121+BI121+BJ121)/60</f>
        <v/>
      </c>
      <c r="CR121" s="38">
        <f>SUM(Z121+AA121)/44</f>
        <v/>
      </c>
      <c r="CS121" s="38">
        <f>SUM(T121)/65+SUM(AC121+AD121)/40+SUM(AT121+AU121)/54</f>
        <v/>
      </c>
      <c r="CT121" s="38">
        <f>SUM(BY121+CN121)/45</f>
        <v/>
      </c>
      <c r="CU121" s="83">
        <f>SUM(U121)/75+SUM(CA121)/60</f>
        <v/>
      </c>
      <c r="CV121" s="155">
        <f>#REF!+B121-L121</f>
        <v/>
      </c>
      <c r="CW121" s="155">
        <f>CW120+C121-M121</f>
        <v/>
      </c>
      <c r="CX121" s="155">
        <f>CX120+D121-N121</f>
        <v/>
      </c>
      <c r="CY121" s="155">
        <f>CY120+E121-O121</f>
        <v/>
      </c>
      <c r="CZ121" s="155">
        <f>CZ120+F121-P121</f>
        <v/>
      </c>
      <c r="DA121" s="155">
        <f>DA120+G121-Q121</f>
        <v/>
      </c>
      <c r="DB121" s="155">
        <f>DB120+H121-R121</f>
        <v/>
      </c>
      <c r="DC121" s="155">
        <f>DC120+I121-S121</f>
        <v/>
      </c>
      <c r="DD121" s="155">
        <f>DD120+J121-T121</f>
        <v/>
      </c>
      <c r="DE121" s="156" t="n"/>
    </row>
    <row r="122" ht="20.25" customHeight="1">
      <c r="A122" s="6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65" t="n"/>
      <c r="L122" s="63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52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52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50" t="n"/>
      <c r="AW122" s="50" t="n"/>
      <c r="AX122" s="50" t="n"/>
      <c r="AY122" s="50" t="n"/>
      <c r="AZ122" s="50" t="n"/>
      <c r="BA122" s="50" t="n"/>
      <c r="BB122" s="50" t="n"/>
      <c r="BC122" s="50" t="n"/>
      <c r="BD122" s="62" t="n"/>
      <c r="BE122" s="62" t="n"/>
      <c r="BF122" s="62" t="n"/>
      <c r="BG122" s="62" t="n"/>
      <c r="BH122" s="62" t="n"/>
      <c r="BI122" s="62" t="n"/>
      <c r="BJ122" s="62" t="n"/>
      <c r="BK122" s="66" t="n"/>
      <c r="BL122" s="66" t="n"/>
      <c r="BM122" s="66" t="n"/>
      <c r="BN122" s="66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52" t="n"/>
      <c r="BZ122" s="153" t="n"/>
      <c r="CA122" s="153" t="n"/>
      <c r="CB122" s="66" t="n"/>
      <c r="CC122" s="154" t="n"/>
      <c r="CD122" s="66" t="n"/>
      <c r="CE122" s="66" t="n"/>
      <c r="CF122" s="69" t="n"/>
      <c r="CG122" s="69" t="n"/>
      <c r="CH122" s="69" t="n"/>
      <c r="CI122" s="69" t="n"/>
      <c r="CJ122" s="69" t="n"/>
      <c r="CK122" s="69" t="n"/>
      <c r="CL122" s="69" t="n"/>
      <c r="CM122" s="17" t="n"/>
      <c r="CN122" s="17" t="n"/>
      <c r="CO122" s="38">
        <f>SUM(L122+M122+N122+BK122)/65+SUM(V122+W122)/44+SUM(AE122+AF122+AG122+AH122+AI122+BO122+BP122+BQ122+CF122+CG122)/45+SUM(AV122+AW122+BD122+BE122)/60</f>
        <v/>
      </c>
      <c r="CP122" s="38">
        <f>SUM(O122+P122+Q122+BL122+BM122+CB122+CC122)/65+SUM(X122+Y122)/44+SUM(AJ122+AK122+AM122+AN122+AO122+AP122+AQ122+BR122+BS122+BT122+BU122+BV122+CH122+CI122+CJ122+CK122)/45+SUM(AX122+AY122+AZ122+BA122+BF122+BG122+BH122)/60+SUM(AL122+BZ122)/50</f>
        <v/>
      </c>
      <c r="CQ122" s="38">
        <f>SUM(R122+S122+BN122+CD122+CE122)/65+SUM(AB122)/36+SUM(AR122+AS122+BW122+BX122+CL122+CM122)/40+SUM(BB122+BC122+BI122+BJ122)/60</f>
        <v/>
      </c>
      <c r="CR122" s="38">
        <f>SUM(Z122+AA122)/44</f>
        <v/>
      </c>
      <c r="CS122" s="38">
        <f>SUM(T122)/65+SUM(AC122+AD122)/40+SUM(AT122+AU122)/54</f>
        <v/>
      </c>
      <c r="CT122" s="38">
        <f>SUM(BY122+CN122)/45</f>
        <v/>
      </c>
      <c r="CU122" s="83">
        <f>SUM(U122)/75+SUM(CA122)/60</f>
        <v/>
      </c>
      <c r="CV122" s="155">
        <f>CV121+B122-L122</f>
        <v/>
      </c>
      <c r="CW122" s="155">
        <f>CW121+C122-M122</f>
        <v/>
      </c>
      <c r="CX122" s="155">
        <f>CX121+D122-N122</f>
        <v/>
      </c>
      <c r="CY122" s="155">
        <f>CY121+E122-O122</f>
        <v/>
      </c>
      <c r="CZ122" s="155">
        <f>CZ121+F122-P122</f>
        <v/>
      </c>
      <c r="DA122" s="155">
        <f>DA121+G122-Q122</f>
        <v/>
      </c>
      <c r="DB122" s="155">
        <f>DB121+H122-R122</f>
        <v/>
      </c>
      <c r="DC122" s="155">
        <f>DC121+I122-S122</f>
        <v/>
      </c>
      <c r="DD122" s="155">
        <f>DD121+J122-T122</f>
        <v/>
      </c>
      <c r="DE122" s="156" t="n"/>
    </row>
    <row r="123" ht="20.25" customHeight="1">
      <c r="A123" s="61" t="n"/>
      <c r="B123" s="152" t="n"/>
      <c r="C123" s="152" t="n"/>
      <c r="D123" s="152" t="n"/>
      <c r="E123" s="152" t="n"/>
      <c r="F123" s="152" t="n"/>
      <c r="G123" s="152" t="n"/>
      <c r="H123" s="152" t="n"/>
      <c r="I123" s="152" t="n"/>
      <c r="J123" s="152" t="n"/>
      <c r="K123" s="65" t="n"/>
      <c r="L123" s="63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52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52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50" t="n"/>
      <c r="AW123" s="50" t="n"/>
      <c r="AX123" s="50" t="n"/>
      <c r="AY123" s="50" t="n"/>
      <c r="AZ123" s="50" t="n"/>
      <c r="BA123" s="50" t="n"/>
      <c r="BB123" s="50" t="n"/>
      <c r="BC123" s="50" t="n"/>
      <c r="BD123" s="62" t="n"/>
      <c r="BE123" s="62" t="n"/>
      <c r="BF123" s="62" t="n"/>
      <c r="BG123" s="62" t="n"/>
      <c r="BH123" s="62" t="n"/>
      <c r="BI123" s="62" t="n"/>
      <c r="BJ123" s="62" t="n"/>
      <c r="BK123" s="66" t="n"/>
      <c r="BL123" s="66" t="n"/>
      <c r="BM123" s="66" t="n"/>
      <c r="BN123" s="66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52" t="n"/>
      <c r="BZ123" s="153" t="n"/>
      <c r="CA123" s="153" t="n"/>
      <c r="CB123" s="66" t="n"/>
      <c r="CC123" s="154" t="n"/>
      <c r="CD123" s="66" t="n"/>
      <c r="CE123" s="66" t="n"/>
      <c r="CF123" s="69" t="n"/>
      <c r="CG123" s="69" t="n"/>
      <c r="CH123" s="69" t="n"/>
      <c r="CI123" s="69" t="n"/>
      <c r="CJ123" s="69" t="n"/>
      <c r="CK123" s="69" t="n"/>
      <c r="CL123" s="69" t="n"/>
      <c r="CM123" s="17" t="n"/>
      <c r="CN123" s="17" t="n"/>
      <c r="CO123" s="38">
        <f>SUM(L123+M123+N123+BK123)/65+SUM(V123+W123)/44+SUM(AE123+AF123+AG123+AH123+AI123+BO123+BP123+BQ123+CF123+CG123)/45+SUM(AV123+AW123+BD123+BE123)/60</f>
        <v/>
      </c>
      <c r="CP123" s="38">
        <f>SUM(O123+P123+Q123+BL123+BM123+CB123+CC123)/65+SUM(X123+Y123)/44+SUM(AJ123+AK123+AM123+AN123+AO123+AP123+AQ123+BR123+BS123+BT123+BU123+BV123+CH123+CI123+CJ123+CK123)/45+SUM(AX123+AY123+AZ123+BA123+BF123+BG123+BH123)/60+SUM(AL123+BZ123)/50</f>
        <v/>
      </c>
      <c r="CQ123" s="38">
        <f>SUM(R123+S123+BN123+CD123+CE123)/65+SUM(AB123)/36+SUM(AR123+AS123+BW123+BX123+CL123+CM123)/40+SUM(BB123+BC123+BI123+BJ123)/60</f>
        <v/>
      </c>
      <c r="CR123" s="38">
        <f>SUM(Z123+AA123)/44</f>
        <v/>
      </c>
      <c r="CS123" s="38">
        <f>SUM(T123)/65+SUM(AC123+AD123)/40+SUM(AT123+AU123)/54</f>
        <v/>
      </c>
      <c r="CT123" s="38">
        <f>SUM(BY123+CN123)/45</f>
        <v/>
      </c>
      <c r="CU123" s="83">
        <f>SUM(U123)/75+SUM(CA123)/60</f>
        <v/>
      </c>
      <c r="CV123" s="157">
        <f>CV122+B123-L123</f>
        <v/>
      </c>
      <c r="CW123" s="155">
        <f>CW122+C123-M123</f>
        <v/>
      </c>
      <c r="CX123" s="155">
        <f>CX122+D123-N123</f>
        <v/>
      </c>
      <c r="CY123" s="155">
        <f>CY122+E123-O123</f>
        <v/>
      </c>
      <c r="CZ123" s="155">
        <f>CZ122+F123-P123</f>
        <v/>
      </c>
      <c r="DA123" s="155">
        <f>DA122+G123-Q123</f>
        <v/>
      </c>
      <c r="DB123" s="155">
        <f>DB122+H123-R123</f>
        <v/>
      </c>
      <c r="DC123" s="155">
        <f>DC122+I123-S123</f>
        <v/>
      </c>
      <c r="DD123" s="155">
        <f>DD122+J123-T123</f>
        <v/>
      </c>
      <c r="DE123" s="156" t="n"/>
    </row>
    <row r="124" ht="20.25" customHeight="1">
      <c r="A124" s="6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65" t="n"/>
      <c r="L124" s="63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52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52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50" t="n"/>
      <c r="AW124" s="50" t="n"/>
      <c r="AX124" s="50" t="n"/>
      <c r="AY124" s="50" t="n"/>
      <c r="AZ124" s="50" t="n"/>
      <c r="BA124" s="50" t="n"/>
      <c r="BB124" s="50" t="n"/>
      <c r="BC124" s="50" t="n"/>
      <c r="BD124" s="62" t="n"/>
      <c r="BE124" s="62" t="n"/>
      <c r="BF124" s="62" t="n"/>
      <c r="BG124" s="62" t="n"/>
      <c r="BH124" s="62" t="n"/>
      <c r="BI124" s="62" t="n"/>
      <c r="BJ124" s="62" t="n"/>
      <c r="BK124" s="66" t="n"/>
      <c r="BL124" s="66" t="n"/>
      <c r="BM124" s="66" t="n"/>
      <c r="BN124" s="66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52" t="n"/>
      <c r="BZ124" s="153" t="n"/>
      <c r="CA124" s="153" t="n"/>
      <c r="CB124" s="66" t="n"/>
      <c r="CC124" s="154" t="n"/>
      <c r="CD124" s="66" t="n"/>
      <c r="CE124" s="66" t="n"/>
      <c r="CF124" s="69" t="n"/>
      <c r="CG124" s="69" t="n"/>
      <c r="CH124" s="69" t="n"/>
      <c r="CI124" s="69" t="n"/>
      <c r="CJ124" s="69" t="n"/>
      <c r="CK124" s="69" t="n"/>
      <c r="CL124" s="69" t="n"/>
      <c r="CM124" s="17" t="n"/>
      <c r="CN124" s="17" t="n"/>
      <c r="CO124" s="38">
        <f>SUM(L124+M124+N124+BK124)/65+SUM(V124+W124)/44+SUM(AE124+AF124+AG124+AH124+AI124+BO124+BP124+BQ124+CF124+CG124)/45+SUM(AV124+AW124+BD124+BE124)/60</f>
        <v/>
      </c>
      <c r="CP124" s="38">
        <f>SUM(O124+P124+Q124+BL124+BM124+CB124+CC124)/65+SUM(X124+Y124)/44+SUM(AJ124+AK124+AM124+AN124+AO124+AP124+AQ124+BR124+BS124+BT124+BU124+BV124+CH124+CI124+CJ124+CK124)/45+SUM(AX124+AY124+AZ124+BA124+BF124+BG124+BH124)/60+SUM(AL124+BZ124)/50</f>
        <v/>
      </c>
      <c r="CQ124" s="38">
        <f>SUM(R124+S124+BN124+CD124+CE124)/65+SUM(AB124)/36+SUM(AR124+AS124+BW124+BX124+CL124+CM124)/40+SUM(BB124+BC124+BI124+BJ124)/60</f>
        <v/>
      </c>
      <c r="CR124" s="38">
        <f>SUM(Z124+AA124)/44</f>
        <v/>
      </c>
      <c r="CS124" s="38">
        <f>SUM(T124)/65+SUM(AC124+AD124)/40+SUM(AT124+AU124)/54</f>
        <v/>
      </c>
      <c r="CT124" s="38">
        <f>SUM(BY124+CN124)/45</f>
        <v/>
      </c>
      <c r="CU124" s="83">
        <f>SUM(U124)/75+SUM(CA124)/60</f>
        <v/>
      </c>
      <c r="CV124" s="155">
        <f>#REF!+B124-L124</f>
        <v/>
      </c>
      <c r="CW124" s="155">
        <f>CW123+C124-M124</f>
        <v/>
      </c>
      <c r="CX124" s="155">
        <f>CX123+D124-N124</f>
        <v/>
      </c>
      <c r="CY124" s="155">
        <f>CY123+E124-O124</f>
        <v/>
      </c>
      <c r="CZ124" s="155">
        <f>CZ123+F124-P124</f>
        <v/>
      </c>
      <c r="DA124" s="155">
        <f>DA123+G124-Q124</f>
        <v/>
      </c>
      <c r="DB124" s="155">
        <f>DB123+H124-R124</f>
        <v/>
      </c>
      <c r="DC124" s="155">
        <f>DC123+I124-S124</f>
        <v/>
      </c>
      <c r="DD124" s="155">
        <f>DD123+J124-T124</f>
        <v/>
      </c>
      <c r="DE124" s="156" t="n"/>
    </row>
    <row r="125" ht="20.25" customHeight="1">
      <c r="A125" s="6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65" t="n"/>
      <c r="L125" s="63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52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52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50" t="n"/>
      <c r="AW125" s="50" t="n"/>
      <c r="AX125" s="50" t="n"/>
      <c r="AY125" s="50" t="n"/>
      <c r="AZ125" s="50" t="n"/>
      <c r="BA125" s="50" t="n"/>
      <c r="BB125" s="50" t="n"/>
      <c r="BC125" s="50" t="n"/>
      <c r="BD125" s="62" t="n"/>
      <c r="BE125" s="62" t="n"/>
      <c r="BF125" s="62" t="n"/>
      <c r="BG125" s="62" t="n"/>
      <c r="BH125" s="62" t="n"/>
      <c r="BI125" s="62" t="n"/>
      <c r="BJ125" s="62" t="n"/>
      <c r="BK125" s="66" t="n"/>
      <c r="BL125" s="66" t="n"/>
      <c r="BM125" s="66" t="n"/>
      <c r="BN125" s="66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52" t="n"/>
      <c r="BZ125" s="153" t="n"/>
      <c r="CA125" s="153" t="n"/>
      <c r="CB125" s="66" t="n"/>
      <c r="CC125" s="154" t="n"/>
      <c r="CD125" s="66" t="n"/>
      <c r="CE125" s="66" t="n"/>
      <c r="CF125" s="69" t="n"/>
      <c r="CG125" s="69" t="n"/>
      <c r="CH125" s="69" t="n"/>
      <c r="CI125" s="69" t="n"/>
      <c r="CJ125" s="69" t="n"/>
      <c r="CK125" s="69" t="n"/>
      <c r="CL125" s="69" t="n"/>
      <c r="CM125" s="17" t="n"/>
      <c r="CN125" s="17" t="n"/>
      <c r="CO125" s="38">
        <f>SUM(L125+M125+N125+BK125)/65+SUM(V125+W125)/44+SUM(AE125+AF125+AG125+AH125+AI125+BO125+BP125+BQ125+CF125+CG125)/45+SUM(AV125+AW125+BD125+BE125)/60</f>
        <v/>
      </c>
      <c r="CP125" s="38">
        <f>SUM(O125+P125+Q125+BL125+BM125+CB125+CC125)/65+SUM(X125+Y125)/44+SUM(AJ125+AK125+AM125+AN125+AO125+AP125+AQ125+BR125+BS125+BT125+BU125+BV125+CH125+CI125+CJ125+CK125)/45+SUM(AX125+AY125+AZ125+BA125+BF125+BG125+BH125)/60+SUM(AL125+BZ125)/50</f>
        <v/>
      </c>
      <c r="CQ125" s="38">
        <f>SUM(R125+S125+BN125+CD125+CE125)/65+SUM(AB125)/36+SUM(AR125+AS125+BW125+BX125+CL125+CM125)/40+SUM(BB125+BC125+BI125+BJ125)/60</f>
        <v/>
      </c>
      <c r="CR125" s="38">
        <f>SUM(Z125+AA125)/44</f>
        <v/>
      </c>
      <c r="CS125" s="38">
        <f>SUM(T125)/65+SUM(AC125+AD125)/40+SUM(AT125+AU125)/54</f>
        <v/>
      </c>
      <c r="CT125" s="38">
        <f>SUM(BY125+CN125)/45</f>
        <v/>
      </c>
      <c r="CU125" s="83">
        <f>SUM(U125)/75+SUM(CA125)/60</f>
        <v/>
      </c>
      <c r="CV125" s="155">
        <f>#REF!+B125-L125</f>
        <v/>
      </c>
      <c r="CW125" s="155">
        <f>CW124+C125-M125</f>
        <v/>
      </c>
      <c r="CX125" s="155">
        <f>CX124+D125-N125</f>
        <v/>
      </c>
      <c r="CY125" s="155">
        <f>CY124+E125-O125</f>
        <v/>
      </c>
      <c r="CZ125" s="155">
        <f>CZ124+F125-P125</f>
        <v/>
      </c>
      <c r="DA125" s="155">
        <f>DA124+G125-Q125</f>
        <v/>
      </c>
      <c r="DB125" s="155">
        <f>DB124+H125-R125</f>
        <v/>
      </c>
      <c r="DC125" s="155">
        <f>DC124+I125-S125</f>
        <v/>
      </c>
      <c r="DD125" s="155">
        <f>DD124+J125-T125</f>
        <v/>
      </c>
      <c r="DE125" s="156" t="n"/>
    </row>
    <row r="126" ht="20.25" customHeight="1">
      <c r="A126" s="6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65" t="n"/>
      <c r="L126" s="63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52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52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50" t="n"/>
      <c r="AW126" s="50" t="n"/>
      <c r="AX126" s="50" t="n"/>
      <c r="AY126" s="50" t="n"/>
      <c r="AZ126" s="50" t="n"/>
      <c r="BA126" s="50" t="n"/>
      <c r="BB126" s="50" t="n"/>
      <c r="BC126" s="50" t="n"/>
      <c r="BD126" s="62" t="n"/>
      <c r="BE126" s="62" t="n"/>
      <c r="BF126" s="62" t="n"/>
      <c r="BG126" s="62" t="n"/>
      <c r="BH126" s="62" t="n"/>
      <c r="BI126" s="62" t="n"/>
      <c r="BJ126" s="62" t="n"/>
      <c r="BK126" s="66" t="n"/>
      <c r="BL126" s="66" t="n"/>
      <c r="BM126" s="66" t="n"/>
      <c r="BN126" s="66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52" t="n"/>
      <c r="BZ126" s="153" t="n"/>
      <c r="CA126" s="153" t="n"/>
      <c r="CB126" s="66" t="n"/>
      <c r="CC126" s="154" t="n"/>
      <c r="CD126" s="66" t="n"/>
      <c r="CE126" s="66" t="n"/>
      <c r="CF126" s="69" t="n"/>
      <c r="CG126" s="69" t="n"/>
      <c r="CH126" s="69" t="n"/>
      <c r="CI126" s="69" t="n"/>
      <c r="CJ126" s="69" t="n"/>
      <c r="CK126" s="69" t="n"/>
      <c r="CL126" s="69" t="n"/>
      <c r="CM126" s="17" t="n"/>
      <c r="CN126" s="17" t="n"/>
      <c r="CO126" s="38">
        <f>SUM(L126+M126+N126+BK126)/65+SUM(V126+W126)/44+SUM(AE126+AF126+AG126+AH126+AI126+BO126+BP126+BQ126+CF126+CG126)/45+SUM(AV126+AW126+BD126+BE126)/60</f>
        <v/>
      </c>
      <c r="CP126" s="38">
        <f>SUM(O126+P126+Q126+BL126+BM126+CB126+CC126)/65+SUM(X126+Y126)/44+SUM(AJ126+AK126+AM126+AN126+AO126+AP126+AQ126+BR126+BS126+BT126+BU126+BV126+CH126+CI126+CJ126+CK126)/45+SUM(AX126+AY126+AZ126+BA126+BF126+BG126+BH126)/60+SUM(AL126+BZ126)/50</f>
        <v/>
      </c>
      <c r="CQ126" s="38">
        <f>SUM(R126+S126+BN126+CD126+CE126)/65+SUM(AB126)/36+SUM(AR126+AS126+BW126+BX126+CL126+CM126)/40+SUM(BB126+BC126+BI126+BJ126)/60</f>
        <v/>
      </c>
      <c r="CR126" s="38">
        <f>SUM(Z126+AA126)/44</f>
        <v/>
      </c>
      <c r="CS126" s="38">
        <f>SUM(T126)/65+SUM(AC126+AD126)/40+SUM(AT126+AU126)/54</f>
        <v/>
      </c>
      <c r="CT126" s="38">
        <f>SUM(BY126+CN126)/45</f>
        <v/>
      </c>
      <c r="CU126" s="83">
        <f>SUM(U126)/75+SUM(CA126)/60</f>
        <v/>
      </c>
      <c r="CV126" s="155">
        <f>#REF!+B126-L126</f>
        <v/>
      </c>
      <c r="CW126" s="155">
        <f>CW125+C126-M126</f>
        <v/>
      </c>
      <c r="CX126" s="155">
        <f>CX125+D126-N126</f>
        <v/>
      </c>
      <c r="CY126" s="155">
        <f>CY125+E126-O126</f>
        <v/>
      </c>
      <c r="CZ126" s="155">
        <f>CZ125+F126-P126</f>
        <v/>
      </c>
      <c r="DA126" s="155">
        <f>DA125+G126-Q126</f>
        <v/>
      </c>
      <c r="DB126" s="155">
        <f>DB125+H126-R126</f>
        <v/>
      </c>
      <c r="DC126" s="155">
        <f>DC125+I126-S126</f>
        <v/>
      </c>
      <c r="DD126" s="155">
        <f>DD125+J126-T126</f>
        <v/>
      </c>
      <c r="DE126" s="156" t="n"/>
    </row>
    <row r="127" ht="20.25" customHeight="1">
      <c r="A127" s="6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65" t="n"/>
      <c r="L127" s="63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52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52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50" t="n"/>
      <c r="AW127" s="50" t="n"/>
      <c r="AX127" s="50" t="n"/>
      <c r="AY127" s="50" t="n"/>
      <c r="AZ127" s="50" t="n"/>
      <c r="BA127" s="50" t="n"/>
      <c r="BB127" s="50" t="n"/>
      <c r="BC127" s="50" t="n"/>
      <c r="BD127" s="62" t="n"/>
      <c r="BE127" s="62" t="n"/>
      <c r="BF127" s="62" t="n"/>
      <c r="BG127" s="62" t="n"/>
      <c r="BH127" s="62" t="n"/>
      <c r="BI127" s="62" t="n"/>
      <c r="BJ127" s="62" t="n"/>
      <c r="BK127" s="66" t="n"/>
      <c r="BL127" s="66" t="n"/>
      <c r="BM127" s="66" t="n"/>
      <c r="BN127" s="66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52" t="n"/>
      <c r="BZ127" s="153" t="n"/>
      <c r="CA127" s="153" t="n"/>
      <c r="CB127" s="66" t="n"/>
      <c r="CC127" s="154" t="n"/>
      <c r="CD127" s="66" t="n"/>
      <c r="CE127" s="66" t="n"/>
      <c r="CF127" s="69" t="n"/>
      <c r="CG127" s="69" t="n"/>
      <c r="CH127" s="69" t="n"/>
      <c r="CI127" s="69" t="n"/>
      <c r="CJ127" s="69" t="n"/>
      <c r="CK127" s="69" t="n"/>
      <c r="CL127" s="69" t="n"/>
      <c r="CM127" s="17" t="n"/>
      <c r="CN127" s="17" t="n"/>
      <c r="CO127" s="38">
        <f>SUM(L127+M127+N127+BK127)/65+SUM(V127+W127)/44+SUM(AE127+AF127+AG127+AH127+AI127+BO127+BP127+BQ127+CF127+CG127)/45+SUM(AV127+AW127+BD127+BE127)/60</f>
        <v/>
      </c>
      <c r="CP127" s="38">
        <f>SUM(O127+P127+Q127+BL127+BM127+CB127+CC127)/65+SUM(X127+Y127)/44+SUM(AJ127+AK127+AM127+AN127+AO127+AP127+AQ127+BR127+BS127+BT127+BU127+BV127+CH127+CI127+CJ127+CK127)/45+SUM(AX127+AY127+AZ127+BA127+BF127+BG127+BH127)/60+SUM(AL127+BZ127)/50</f>
        <v/>
      </c>
      <c r="CQ127" s="38">
        <f>SUM(R127+S127+BN127+CD127+CE127)/65+SUM(AB127)/36+SUM(AR127+AS127+BW127+BX127+CL127+CM127)/40+SUM(BB127+BC127+BI127+BJ127)/60</f>
        <v/>
      </c>
      <c r="CR127" s="38">
        <f>SUM(Z127+AA127)/44</f>
        <v/>
      </c>
      <c r="CS127" s="38">
        <f>SUM(T127)/65+SUM(AC127+AD127)/40+SUM(AT127+AU127)/54</f>
        <v/>
      </c>
      <c r="CT127" s="38">
        <f>SUM(BY127+CN127)/45</f>
        <v/>
      </c>
      <c r="CU127" s="83">
        <f>SUM(U127)/75+SUM(CA127)/60</f>
        <v/>
      </c>
      <c r="CV127" s="155">
        <f>#REF!+B127-L127</f>
        <v/>
      </c>
      <c r="CW127" s="155">
        <f>CW126+C127-M127</f>
        <v/>
      </c>
      <c r="CX127" s="155">
        <f>CX126+D127-N127</f>
        <v/>
      </c>
      <c r="CY127" s="155">
        <f>CY126+E127-O127</f>
        <v/>
      </c>
      <c r="CZ127" s="155">
        <f>CZ126+F127-P127</f>
        <v/>
      </c>
      <c r="DA127" s="155">
        <f>DA126+G127-Q127</f>
        <v/>
      </c>
      <c r="DB127" s="155">
        <f>DB126+H127-R127</f>
        <v/>
      </c>
      <c r="DC127" s="155">
        <f>DC126+I127-S127</f>
        <v/>
      </c>
      <c r="DD127" s="155">
        <f>DD126+J127-T127</f>
        <v/>
      </c>
      <c r="DE127" s="156" t="n"/>
    </row>
    <row r="128" ht="20.25" customHeight="1">
      <c r="A128" s="6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65" t="n"/>
      <c r="L128" s="63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52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52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50" t="n"/>
      <c r="AW128" s="50" t="n"/>
      <c r="AX128" s="50" t="n"/>
      <c r="AY128" s="50" t="n"/>
      <c r="AZ128" s="50" t="n"/>
      <c r="BA128" s="50" t="n"/>
      <c r="BB128" s="50" t="n"/>
      <c r="BC128" s="50" t="n"/>
      <c r="BD128" s="62" t="n"/>
      <c r="BE128" s="62" t="n"/>
      <c r="BF128" s="62" t="n"/>
      <c r="BG128" s="62" t="n"/>
      <c r="BH128" s="62" t="n"/>
      <c r="BI128" s="62" t="n"/>
      <c r="BJ128" s="62" t="n"/>
      <c r="BK128" s="66" t="n"/>
      <c r="BL128" s="66" t="n"/>
      <c r="BM128" s="66" t="n"/>
      <c r="BN128" s="66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52" t="n"/>
      <c r="BZ128" s="153" t="n"/>
      <c r="CA128" s="153" t="n"/>
      <c r="CB128" s="66" t="n"/>
      <c r="CC128" s="154" t="n"/>
      <c r="CD128" s="66" t="n"/>
      <c r="CE128" s="66" t="n"/>
      <c r="CF128" s="69" t="n"/>
      <c r="CG128" s="69" t="n"/>
      <c r="CH128" s="69" t="n"/>
      <c r="CI128" s="69" t="n"/>
      <c r="CJ128" s="69" t="n"/>
      <c r="CK128" s="69" t="n"/>
      <c r="CL128" s="69" t="n"/>
      <c r="CM128" s="17" t="n"/>
      <c r="CN128" s="17" t="n"/>
      <c r="CO128" s="38">
        <f>SUM(L128+M128+N128+BK128)/65+SUM(V128+W128)/44+SUM(AE128+AF128+AG128+AH128+AI128+BO128+BP128+BQ128+CF128+CG128)/45+SUM(AV128+AW128+BD128+BE128)/60</f>
        <v/>
      </c>
      <c r="CP128" s="38">
        <f>SUM(O128+P128+Q128+BL128+BM128+CB128+CC128)/65+SUM(X128+Y128)/44+SUM(AJ128+AK128+AM128+AN128+AO128+AP128+AQ128+BR128+BS128+BT128+BU128+BV128+CH128+CI128+CJ128+CK128)/45+SUM(AX128+AY128+AZ128+BA128+BF128+BG128+BH128)/60+SUM(AL128+BZ128)/50</f>
        <v/>
      </c>
      <c r="CQ128" s="38">
        <f>SUM(R128+S128+BN128+CD128+CE128)/65+SUM(AB128)/36+SUM(AR128+AS128+BW128+BX128+CL128+CM128)/40+SUM(BB128+BC128+BI128+BJ128)/60</f>
        <v/>
      </c>
      <c r="CR128" s="38">
        <f>SUM(Z128+AA128)/44</f>
        <v/>
      </c>
      <c r="CS128" s="38">
        <f>SUM(T128)/65+SUM(AC128+AD128)/40+SUM(AT128+AU128)/54</f>
        <v/>
      </c>
      <c r="CT128" s="38">
        <f>SUM(BY128+CN128)/45</f>
        <v/>
      </c>
      <c r="CU128" s="83">
        <f>SUM(U128)/75+SUM(CA128)/60</f>
        <v/>
      </c>
      <c r="CV128" s="155">
        <f>#REF!+B128-L128</f>
        <v/>
      </c>
      <c r="CW128" s="155">
        <f>CW127+C128-M128</f>
        <v/>
      </c>
      <c r="CX128" s="155">
        <f>CX127+D128-N128</f>
        <v/>
      </c>
      <c r="CY128" s="155">
        <f>CY127+E128-O128</f>
        <v/>
      </c>
      <c r="CZ128" s="155">
        <f>CZ127+F128-P128</f>
        <v/>
      </c>
      <c r="DA128" s="155">
        <f>DA127+G128-Q128</f>
        <v/>
      </c>
      <c r="DB128" s="155">
        <f>DB127+H128-R128</f>
        <v/>
      </c>
      <c r="DC128" s="155">
        <f>DC127+I128-S128</f>
        <v/>
      </c>
      <c r="DD128" s="155">
        <f>DD127+J128-T128</f>
        <v/>
      </c>
      <c r="DE128" s="156" t="n"/>
    </row>
    <row r="129" ht="20.25" customHeight="1">
      <c r="A129" s="6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65" t="n"/>
      <c r="L129" s="63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52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52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50" t="n"/>
      <c r="AW129" s="50" t="n"/>
      <c r="AX129" s="50" t="n"/>
      <c r="AY129" s="50" t="n"/>
      <c r="AZ129" s="50" t="n"/>
      <c r="BA129" s="50" t="n"/>
      <c r="BB129" s="50" t="n"/>
      <c r="BC129" s="50" t="n"/>
      <c r="BD129" s="62" t="n"/>
      <c r="BE129" s="62" t="n"/>
      <c r="BF129" s="62" t="n"/>
      <c r="BG129" s="62" t="n"/>
      <c r="BH129" s="62" t="n"/>
      <c r="BI129" s="62" t="n"/>
      <c r="BJ129" s="62" t="n"/>
      <c r="BK129" s="66" t="n"/>
      <c r="BL129" s="66" t="n"/>
      <c r="BM129" s="66" t="n"/>
      <c r="BN129" s="66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52" t="n"/>
      <c r="BZ129" s="153" t="n"/>
      <c r="CA129" s="153" t="n"/>
      <c r="CB129" s="66" t="n"/>
      <c r="CC129" s="154" t="n"/>
      <c r="CD129" s="66" t="n"/>
      <c r="CE129" s="66" t="n"/>
      <c r="CF129" s="69" t="n"/>
      <c r="CG129" s="69" t="n"/>
      <c r="CH129" s="69" t="n"/>
      <c r="CI129" s="69" t="n"/>
      <c r="CJ129" s="69" t="n"/>
      <c r="CK129" s="69" t="n"/>
      <c r="CL129" s="69" t="n"/>
      <c r="CM129" s="17" t="n"/>
      <c r="CN129" s="17" t="n"/>
      <c r="CO129" s="38">
        <f>SUM(L129+M129+N129+BK129)/65+SUM(V129+W129)/44+SUM(AE129+AF129+AG129+AH129+AI129+BO129+BP129+BQ129+CF129+CG129)/45+SUM(AV129+AW129+BD129+BE129)/60</f>
        <v/>
      </c>
      <c r="CP129" s="38">
        <f>SUM(O129+P129+Q129+BL129+BM129+CB129+CC129)/65+SUM(X129+Y129)/44+SUM(AJ129+AK129+AM129+AN129+AO129+AP129+AQ129+BR129+BS129+BT129+BU129+BV129+CH129+CI129+CJ129+CK129)/45+SUM(AX129+AY129+AZ129+BA129+BF129+BG129+BH129)/60+SUM(AL129+BZ129)/50</f>
        <v/>
      </c>
      <c r="CQ129" s="38">
        <f>SUM(R129+S129+BN129+CD129+CE129)/65+SUM(AB129)/36+SUM(AR129+AS129+BW129+BX129+CL129+CM129)/40+SUM(BB129+BC129+BI129+BJ129)/60</f>
        <v/>
      </c>
      <c r="CR129" s="38">
        <f>SUM(Z129+AA129)/44</f>
        <v/>
      </c>
      <c r="CS129" s="38">
        <f>SUM(T129)/65+SUM(AC129+AD129)/40+SUM(AT129+AU129)/54</f>
        <v/>
      </c>
      <c r="CT129" s="38">
        <f>SUM(BY129+CN129)/45</f>
        <v/>
      </c>
      <c r="CU129" s="83">
        <f>SUM(U129)/75+SUM(CA129)/60</f>
        <v/>
      </c>
      <c r="CV129" s="155">
        <f>CV35+B129-L129</f>
        <v/>
      </c>
      <c r="CW129" s="155">
        <f>CW128+C129-M129</f>
        <v/>
      </c>
      <c r="CX129" s="155">
        <f>CX128+D129-N129</f>
        <v/>
      </c>
      <c r="CY129" s="155">
        <f>CY128+E129-O129</f>
        <v/>
      </c>
      <c r="CZ129" s="155">
        <f>CZ128+F129-P129</f>
        <v/>
      </c>
      <c r="DA129" s="155">
        <f>DA128+G129-Q129</f>
        <v/>
      </c>
      <c r="DB129" s="155">
        <f>DB128+H129-R129</f>
        <v/>
      </c>
      <c r="DC129" s="155">
        <f>DC128+I129-S129</f>
        <v/>
      </c>
      <c r="DD129" s="155">
        <f>DD128+J129-T129</f>
        <v/>
      </c>
      <c r="DE129" s="156" t="n"/>
    </row>
    <row r="130" ht="20.25" customHeight="1">
      <c r="A130" s="6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65" t="n"/>
      <c r="L130" s="63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52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52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50" t="n"/>
      <c r="AW130" s="50" t="n"/>
      <c r="AX130" s="50" t="n"/>
      <c r="AY130" s="50" t="n"/>
      <c r="AZ130" s="50" t="n"/>
      <c r="BA130" s="50" t="n"/>
      <c r="BB130" s="50" t="n"/>
      <c r="BC130" s="50" t="n"/>
      <c r="BD130" s="62" t="n"/>
      <c r="BE130" s="62" t="n"/>
      <c r="BF130" s="62" t="n"/>
      <c r="BG130" s="62" t="n"/>
      <c r="BH130" s="62" t="n"/>
      <c r="BI130" s="62" t="n"/>
      <c r="BJ130" s="62" t="n"/>
      <c r="BK130" s="66" t="n"/>
      <c r="BL130" s="66" t="n"/>
      <c r="BM130" s="66" t="n"/>
      <c r="BN130" s="66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52" t="n"/>
      <c r="BZ130" s="153" t="n"/>
      <c r="CA130" s="153" t="n"/>
      <c r="CB130" s="66" t="n"/>
      <c r="CC130" s="154" t="n"/>
      <c r="CD130" s="66" t="n"/>
      <c r="CE130" s="66" t="n"/>
      <c r="CF130" s="69" t="n"/>
      <c r="CG130" s="69" t="n"/>
      <c r="CH130" s="69" t="n"/>
      <c r="CI130" s="69" t="n"/>
      <c r="CJ130" s="69" t="n"/>
      <c r="CK130" s="69" t="n"/>
      <c r="CL130" s="69" t="n"/>
      <c r="CM130" s="17" t="n"/>
      <c r="CN130" s="17" t="n"/>
      <c r="CO130" s="38">
        <f>SUM(L130+M130+N130+BK130)/65+SUM(V130+W130)/44+SUM(AE130+AF130+AG130+AH130+AI130+BO130+BP130+BQ130+CF130+CG130)/45+SUM(AV130+AW130+BD130+BE130)/60</f>
        <v/>
      </c>
      <c r="CP130" s="38">
        <f>SUM(O130+P130+Q130+BL130+BM130+CB130+CC130)/65+SUM(X130+Y130)/44+SUM(AJ130+AK130+AM130+AN130+AO130+AP130+AQ130+BR130+BS130+BT130+BU130+BV130+CH130+CI130+CJ130+CK130)/45+SUM(AX130+AY130+AZ130+BA130+BF130+BG130+BH130)/60+SUM(AL130+BZ130)/50</f>
        <v/>
      </c>
      <c r="CQ130" s="38">
        <f>SUM(R130+S130+BN130+CD130+CE130)/65+SUM(AB130)/36+SUM(AR130+AS130+BW130+BX130+CL130+CM130)/40+SUM(BB130+BC130+BI130+BJ130)/60</f>
        <v/>
      </c>
      <c r="CR130" s="38">
        <f>SUM(Z130+AA130)/44</f>
        <v/>
      </c>
      <c r="CS130" s="38">
        <f>SUM(T130)/65+SUM(AC130+AD130)/40+SUM(AT130+AU130)/54</f>
        <v/>
      </c>
      <c r="CT130" s="38">
        <f>SUM(BY130+CN130)/45</f>
        <v/>
      </c>
      <c r="CU130" s="83">
        <f>SUM(U130)/75+SUM(CA130)/60</f>
        <v/>
      </c>
      <c r="CV130" s="155">
        <f>#REF!+B130-L130</f>
        <v/>
      </c>
      <c r="CW130" s="155">
        <f>CW129+C130-M130</f>
        <v/>
      </c>
      <c r="CX130" s="155">
        <f>CX129+D130-N130</f>
        <v/>
      </c>
      <c r="CY130" s="155">
        <f>CY129+E130-O130</f>
        <v/>
      </c>
      <c r="CZ130" s="155">
        <f>CZ129+F130-P130</f>
        <v/>
      </c>
      <c r="DA130" s="155">
        <f>DA129+G130-Q130</f>
        <v/>
      </c>
      <c r="DB130" s="155">
        <f>DB129+H130-R130</f>
        <v/>
      </c>
      <c r="DC130" s="155">
        <f>DC129+I130-S130</f>
        <v/>
      </c>
      <c r="DD130" s="155">
        <f>DD129+J130-T130</f>
        <v/>
      </c>
      <c r="DE130" s="156" t="n"/>
    </row>
    <row r="131" ht="20.25" customHeight="1">
      <c r="A131" s="6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65" t="n"/>
      <c r="L131" s="63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52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52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50" t="n"/>
      <c r="AW131" s="50" t="n"/>
      <c r="AX131" s="50" t="n"/>
      <c r="AY131" s="50" t="n"/>
      <c r="AZ131" s="50" t="n"/>
      <c r="BA131" s="50" t="n"/>
      <c r="BB131" s="50" t="n"/>
      <c r="BC131" s="50" t="n"/>
      <c r="BD131" s="62" t="n"/>
      <c r="BE131" s="62" t="n"/>
      <c r="BF131" s="62" t="n"/>
      <c r="BG131" s="62" t="n"/>
      <c r="BH131" s="62" t="n"/>
      <c r="BI131" s="62" t="n"/>
      <c r="BJ131" s="62" t="n"/>
      <c r="BK131" s="66" t="n"/>
      <c r="BL131" s="66" t="n"/>
      <c r="BM131" s="66" t="n"/>
      <c r="BN131" s="66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52" t="n"/>
      <c r="BZ131" s="153" t="n"/>
      <c r="CA131" s="153" t="n"/>
      <c r="CB131" s="66" t="n"/>
      <c r="CC131" s="154" t="n"/>
      <c r="CD131" s="66" t="n"/>
      <c r="CE131" s="66" t="n"/>
      <c r="CF131" s="69" t="n"/>
      <c r="CG131" s="69" t="n"/>
      <c r="CH131" s="69" t="n"/>
      <c r="CI131" s="69" t="n"/>
      <c r="CJ131" s="69" t="n"/>
      <c r="CK131" s="69" t="n"/>
      <c r="CL131" s="69" t="n"/>
      <c r="CM131" s="17" t="n"/>
      <c r="CN131" s="17" t="n"/>
      <c r="CO131" s="38">
        <f>SUM(L131+M131+N131+BK131)/65+SUM(V131+W131)/44+SUM(AE131+AF131+AG131+AH131+AI131+BO131+BP131+BQ131+CF131+CG131)/45+SUM(AV131+AW131+BD131+BE131)/60</f>
        <v/>
      </c>
      <c r="CP131" s="38">
        <f>SUM(O131+P131+Q131+BL131+BM131+CB131+CC131)/65+SUM(X131+Y131)/44+SUM(AJ131+AK131+AM131+AN131+AO131+AP131+AQ131+BR131+BS131+BT131+BU131+BV131+CH131+CI131+CJ131+CK131)/45+SUM(AX131+AY131+AZ131+BA131+BF131+BG131+BH131)/60+SUM(AL131+BZ131)/50</f>
        <v/>
      </c>
      <c r="CQ131" s="38">
        <f>SUM(R131+S131+BN131+CD131+CE131)/65+SUM(AB131)/36+SUM(AR131+AS131+BW131+BX131+CL131+CM131)/40+SUM(BB131+BC131+BI131+BJ131)/60</f>
        <v/>
      </c>
      <c r="CR131" s="38">
        <f>SUM(Z131+AA131)/44</f>
        <v/>
      </c>
      <c r="CS131" s="38">
        <f>SUM(T131)/65+SUM(AC131+AD131)/40+SUM(AT131+AU131)/54</f>
        <v/>
      </c>
      <c r="CT131" s="38">
        <f>SUM(BY131+CN131)/45</f>
        <v/>
      </c>
      <c r="CU131" s="83">
        <f>SUM(U131)/75+SUM(CA131)/60</f>
        <v/>
      </c>
      <c r="CV131" s="155">
        <f>#REF!+B131-L131</f>
        <v/>
      </c>
      <c r="CW131" s="155">
        <f>CW130+C131-M131</f>
        <v/>
      </c>
      <c r="CX131" s="155">
        <f>CX130+D131-N131</f>
        <v/>
      </c>
      <c r="CY131" s="155">
        <f>CY130+E131-O131</f>
        <v/>
      </c>
      <c r="CZ131" s="155">
        <f>CZ130+F131-P131</f>
        <v/>
      </c>
      <c r="DA131" s="155">
        <f>DA130+G131-Q131</f>
        <v/>
      </c>
      <c r="DB131" s="155">
        <f>DB130+H131-R131</f>
        <v/>
      </c>
      <c r="DC131" s="155">
        <f>DC130+I131-S131</f>
        <v/>
      </c>
      <c r="DD131" s="155">
        <f>DD130+J131-T131</f>
        <v/>
      </c>
      <c r="DE131" s="156" t="n"/>
    </row>
    <row r="132" ht="20.25" customHeight="1">
      <c r="A132" s="6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65" t="n"/>
      <c r="L132" s="63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52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52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50" t="n"/>
      <c r="AW132" s="50" t="n"/>
      <c r="AX132" s="50" t="n"/>
      <c r="AY132" s="50" t="n"/>
      <c r="AZ132" s="50" t="n"/>
      <c r="BA132" s="50" t="n"/>
      <c r="BB132" s="50" t="n"/>
      <c r="BC132" s="50" t="n"/>
      <c r="BD132" s="62" t="n"/>
      <c r="BE132" s="62" t="n"/>
      <c r="BF132" s="62" t="n"/>
      <c r="BG132" s="62" t="n"/>
      <c r="BH132" s="62" t="n"/>
      <c r="BI132" s="62" t="n"/>
      <c r="BJ132" s="62" t="n"/>
      <c r="BK132" s="66" t="n"/>
      <c r="BL132" s="66" t="n"/>
      <c r="BM132" s="66" t="n"/>
      <c r="BN132" s="66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52" t="n"/>
      <c r="BZ132" s="153" t="n"/>
      <c r="CA132" s="153" t="n"/>
      <c r="CB132" s="66" t="n"/>
      <c r="CC132" s="154" t="n"/>
      <c r="CD132" s="66" t="n"/>
      <c r="CE132" s="66" t="n"/>
      <c r="CF132" s="69" t="n"/>
      <c r="CG132" s="69" t="n"/>
      <c r="CH132" s="69" t="n"/>
      <c r="CI132" s="69" t="n"/>
      <c r="CJ132" s="69" t="n"/>
      <c r="CK132" s="69" t="n"/>
      <c r="CL132" s="69" t="n"/>
      <c r="CM132" s="17" t="n"/>
      <c r="CN132" s="17" t="n"/>
      <c r="CO132" s="38">
        <f>SUM(L132+M132+N132+BK132)/65+SUM(V132+W132)/44+SUM(AE132+AF132+AG132+AH132+AI132+BO132+BP132+BQ132+CF132+CG132)/45+SUM(AV132+AW132+BD132+BE132)/60</f>
        <v/>
      </c>
      <c r="CP132" s="38">
        <f>SUM(O132+P132+Q132+BL132+BM132+CB132+CC132)/65+SUM(X132+Y132)/44+SUM(AJ132+AK132+AM132+AN132+AO132+AP132+AQ132+BR132+BS132+BT132+BU132+BV132+CH132+CI132+CJ132+CK132)/45+SUM(AX132+AY132+AZ132+BA132+BF132+BG132+BH132)/60+SUM(AL132+BZ132)/50</f>
        <v/>
      </c>
      <c r="CQ132" s="38">
        <f>SUM(R132+S132+BN132+CD132+CE132)/65+SUM(AB132)/36+SUM(AR132+AS132+BW132+BX132+CL132+CM132)/40+SUM(BB132+BC132+BI132+BJ132)/60</f>
        <v/>
      </c>
      <c r="CR132" s="38">
        <f>SUM(Z132+AA132)/44</f>
        <v/>
      </c>
      <c r="CS132" s="38">
        <f>SUM(T132)/65+SUM(AC132+AD132)/40+SUM(AT132+AU132)/54</f>
        <v/>
      </c>
      <c r="CT132" s="38">
        <f>SUM(BY132+CN132)/45</f>
        <v/>
      </c>
      <c r="CU132" s="83">
        <f>SUM(U132)/75+SUM(CA132)/60</f>
        <v/>
      </c>
      <c r="CV132" s="155">
        <f>CV125+B132-L132</f>
        <v/>
      </c>
      <c r="CW132" s="155">
        <f>CW131+C132-M132</f>
        <v/>
      </c>
      <c r="CX132" s="155">
        <f>CX131+D132-N132</f>
        <v/>
      </c>
      <c r="CY132" s="155">
        <f>CY131+E132-O132</f>
        <v/>
      </c>
      <c r="CZ132" s="155">
        <f>CZ131+F132-P132</f>
        <v/>
      </c>
      <c r="DA132" s="155">
        <f>DA131+G132-Q132</f>
        <v/>
      </c>
      <c r="DB132" s="155">
        <f>DB131+H132-R132</f>
        <v/>
      </c>
      <c r="DC132" s="155">
        <f>DC131+I132-S132</f>
        <v/>
      </c>
      <c r="DD132" s="155">
        <f>DD131+J132-T132</f>
        <v/>
      </c>
      <c r="DE132" s="156" t="n"/>
    </row>
    <row r="133" ht="20.25" customHeight="1">
      <c r="A133" s="61" t="n"/>
      <c r="B133" s="152" t="n"/>
      <c r="C133" s="152" t="n"/>
      <c r="D133" s="152" t="n"/>
      <c r="E133" s="152" t="n"/>
      <c r="F133" s="152" t="n"/>
      <c r="G133" s="152" t="n"/>
      <c r="H133" s="152" t="n"/>
      <c r="I133" s="152" t="n"/>
      <c r="J133" s="152" t="n"/>
      <c r="K133" s="65" t="n"/>
      <c r="L133" s="63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52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52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50" t="n"/>
      <c r="AW133" s="50" t="n"/>
      <c r="AX133" s="50" t="n"/>
      <c r="AY133" s="50" t="n"/>
      <c r="AZ133" s="50" t="n"/>
      <c r="BA133" s="50" t="n"/>
      <c r="BB133" s="50" t="n"/>
      <c r="BC133" s="50" t="n"/>
      <c r="BD133" s="62" t="n"/>
      <c r="BE133" s="62" t="n"/>
      <c r="BF133" s="62" t="n"/>
      <c r="BG133" s="62" t="n"/>
      <c r="BH133" s="62" t="n"/>
      <c r="BI133" s="62" t="n"/>
      <c r="BJ133" s="62" t="n"/>
      <c r="BK133" s="66" t="n"/>
      <c r="BL133" s="66" t="n"/>
      <c r="BM133" s="66" t="n"/>
      <c r="BN133" s="66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52" t="n"/>
      <c r="BZ133" s="153" t="n"/>
      <c r="CA133" s="153" t="n"/>
      <c r="CB133" s="66" t="n"/>
      <c r="CC133" s="154" t="n"/>
      <c r="CD133" s="66" t="n"/>
      <c r="CE133" s="66" t="n"/>
      <c r="CF133" s="69" t="n"/>
      <c r="CG133" s="69" t="n"/>
      <c r="CH133" s="69" t="n"/>
      <c r="CI133" s="69" t="n"/>
      <c r="CJ133" s="69" t="n"/>
      <c r="CK133" s="69" t="n"/>
      <c r="CL133" s="69" t="n"/>
      <c r="CM133" s="17" t="n"/>
      <c r="CN133" s="17" t="n"/>
      <c r="CO133" s="38">
        <f>SUM(L133+M133+N133+BK133)/65+SUM(V133+W133)/44+SUM(AE133+AF133+AG133+AH133+AI133+BO133+BP133+BQ133+CF133+CG133)/45+SUM(AV133+AW133+BD133+BE133)/60</f>
        <v/>
      </c>
      <c r="CP133" s="38">
        <f>SUM(O133+P133+Q133+BL133+BM133+CB133+CC133)/65+SUM(X133+Y133)/44+SUM(AJ133+AK133+AM133+AN133+AO133+AP133+AQ133+BR133+BS133+BT133+BU133+BV133+CH133+CI133+CJ133+CK133)/45+SUM(AX133+AY133+AZ133+BA133+BF133+BG133+BH133)/60+SUM(AL133+BZ133)/50</f>
        <v/>
      </c>
      <c r="CQ133" s="38">
        <f>SUM(R133+S133+BN133+CD133+CE133)/65+SUM(AB133)/36+SUM(AR133+AS133+BW133+BX133+CL133+CM133)/40+SUM(BB133+BC133+BI133+BJ133)/60</f>
        <v/>
      </c>
      <c r="CR133" s="38">
        <f>SUM(Z133+AA133)/44</f>
        <v/>
      </c>
      <c r="CS133" s="38">
        <f>SUM(T133)/65+SUM(AC133+AD133)/40+SUM(AT133+AU133)/54</f>
        <v/>
      </c>
      <c r="CT133" s="38">
        <f>SUM(BY133+CN133)/45</f>
        <v/>
      </c>
      <c r="CU133" s="83">
        <f>SUM(U133)/75+SUM(CA133)/60</f>
        <v/>
      </c>
      <c r="CV133" s="157">
        <f>CV132+B133-L133</f>
        <v/>
      </c>
      <c r="CW133" s="155">
        <f>CW132+C133-M133</f>
        <v/>
      </c>
      <c r="CX133" s="155">
        <f>CX132+D133-N133</f>
        <v/>
      </c>
      <c r="CY133" s="155">
        <f>CY132+E133-O133</f>
        <v/>
      </c>
      <c r="CZ133" s="155">
        <f>CZ132+F133-P133</f>
        <v/>
      </c>
      <c r="DA133" s="155">
        <f>DA132+G133-Q133</f>
        <v/>
      </c>
      <c r="DB133" s="155">
        <f>DB132+H133-R133</f>
        <v/>
      </c>
      <c r="DC133" s="155">
        <f>DC132+I133-S133</f>
        <v/>
      </c>
      <c r="DD133" s="155">
        <f>DD132+J133-T133</f>
        <v/>
      </c>
      <c r="DE133" s="156" t="n"/>
    </row>
    <row r="134" ht="20.25" customHeight="1" thickBot="1">
      <c r="A134" s="87" t="n"/>
      <c r="B134" s="88">
        <f>SUM(B7:B133)</f>
        <v/>
      </c>
      <c r="C134" s="88">
        <f>SUM(C7:C133)</f>
        <v/>
      </c>
      <c r="D134" s="88">
        <f>SUM(D7:D133)</f>
        <v/>
      </c>
      <c r="E134" s="88">
        <f>SUM(E7:E133)</f>
        <v/>
      </c>
      <c r="F134" s="88">
        <f>SUM(F7:F133)</f>
        <v/>
      </c>
      <c r="G134" s="88">
        <f>SUM(G7:G133)</f>
        <v/>
      </c>
      <c r="H134" s="88">
        <f>SUM(H7:H133)</f>
        <v/>
      </c>
      <c r="I134" s="88">
        <f>SUM(I7:I133)</f>
        <v/>
      </c>
      <c r="J134" s="88">
        <f>SUM(J7:J133)</f>
        <v/>
      </c>
      <c r="K134" s="90" t="n"/>
      <c r="L134" s="158" t="n"/>
      <c r="M134" s="158" t="n"/>
      <c r="N134" s="158" t="n"/>
      <c r="O134" s="158" t="n"/>
      <c r="P134" s="158" t="n"/>
      <c r="Q134" s="158" t="n"/>
      <c r="R134" s="158" t="n"/>
      <c r="S134" s="158" t="n"/>
      <c r="T134" s="158" t="n"/>
      <c r="U134" s="88" t="n"/>
      <c r="V134" s="158" t="n"/>
      <c r="W134" s="158" t="n"/>
      <c r="X134" s="158" t="n"/>
      <c r="Y134" s="158" t="n"/>
      <c r="Z134" s="158" t="n"/>
      <c r="AA134" s="158" t="n"/>
      <c r="AB134" s="158" t="n"/>
      <c r="AC134" s="158" t="n"/>
      <c r="AD134" s="158" t="n"/>
      <c r="AE134" s="158" t="n"/>
      <c r="AF134" s="158" t="n"/>
      <c r="AG134" s="158" t="n"/>
      <c r="AH134" s="158" t="n"/>
      <c r="AI134" s="158" t="n"/>
      <c r="AJ134" s="158" t="n"/>
      <c r="AK134" s="158" t="n"/>
      <c r="AL134" s="88" t="n"/>
      <c r="AM134" s="158" t="n"/>
      <c r="AN134" s="158" t="n"/>
      <c r="AO134" s="158" t="n"/>
      <c r="AP134" s="158" t="n"/>
      <c r="AQ134" s="158" t="n"/>
      <c r="AR134" s="158" t="n"/>
      <c r="AS134" s="158" t="n"/>
      <c r="AT134" s="158" t="n"/>
      <c r="AU134" s="158" t="n"/>
      <c r="AV134" s="158" t="n"/>
      <c r="AW134" s="158" t="n"/>
      <c r="AX134" s="158" t="n"/>
      <c r="AY134" s="158" t="n"/>
      <c r="AZ134" s="158" t="n"/>
      <c r="BA134" s="158" t="n"/>
      <c r="BB134" s="158" t="n"/>
      <c r="BC134" s="158" t="n"/>
      <c r="BD134" s="158" t="n"/>
      <c r="BE134" s="158" t="n"/>
      <c r="BF134" s="158" t="n"/>
      <c r="BG134" s="158" t="n"/>
      <c r="BH134" s="158" t="n"/>
      <c r="BI134" s="158" t="n"/>
      <c r="BJ134" s="158" t="n"/>
      <c r="BK134" s="88" t="n"/>
      <c r="BL134" s="158" t="n"/>
      <c r="BM134" s="158" t="n"/>
      <c r="BN134" s="158" t="n"/>
      <c r="BO134" s="158" t="n"/>
      <c r="BP134" s="158" t="n"/>
      <c r="BQ134" s="158" t="n"/>
      <c r="BR134" s="158" t="n"/>
      <c r="BS134" s="158" t="n"/>
      <c r="BT134" s="158" t="n"/>
      <c r="BU134" s="158" t="n"/>
      <c r="BV134" s="158" t="n"/>
      <c r="BW134" s="158" t="n"/>
      <c r="BX134" s="158" t="n"/>
      <c r="BY134" s="88" t="n"/>
      <c r="BZ134" s="88" t="n"/>
      <c r="CA134" s="88" t="n"/>
      <c r="CB134" s="158" t="n"/>
      <c r="CC134" s="88" t="n"/>
      <c r="CD134" s="158" t="n"/>
      <c r="CE134" s="158" t="n"/>
      <c r="CF134" s="158" t="n"/>
      <c r="CG134" s="158" t="n"/>
      <c r="CH134" s="158" t="n"/>
      <c r="CI134" s="158" t="n"/>
      <c r="CJ134" s="158" t="n"/>
      <c r="CK134" s="158" t="n"/>
      <c r="CL134" s="158" t="n"/>
      <c r="CM134" s="158">
        <f>SUM(CK7:CK133)</f>
        <v/>
      </c>
      <c r="CN134" s="158">
        <f>SUM(CM7:CM133)</f>
        <v/>
      </c>
      <c r="CO134" s="158">
        <f>SUM(CO7:CO133)</f>
        <v/>
      </c>
      <c r="CP134" s="158">
        <f>SUM(CP7:CP133)</f>
        <v/>
      </c>
      <c r="CQ134" s="158">
        <f>SUM(CQ7:CQ133)</f>
        <v/>
      </c>
      <c r="CR134" s="158">
        <f>SUM(CR7:CR133)</f>
        <v/>
      </c>
      <c r="CS134" s="158">
        <f>SUM(CS7:CS133)</f>
        <v/>
      </c>
      <c r="CT134" s="158">
        <f>SUM(CT7:CT133)</f>
        <v/>
      </c>
      <c r="CU134" s="89">
        <f>SUM(CU7:CU133)</f>
        <v/>
      </c>
      <c r="CV134" s="159">
        <f>#REF!+B134-L134</f>
        <v/>
      </c>
      <c r="CW134" s="159">
        <f>#REF!+C134-M134</f>
        <v/>
      </c>
      <c r="CX134" s="159">
        <f>#REF!+D134-N134</f>
        <v/>
      </c>
      <c r="CY134" s="159">
        <f>#REF!+E134-O134</f>
        <v/>
      </c>
      <c r="CZ134" s="159">
        <f>#REF!+F134-P134</f>
        <v/>
      </c>
      <c r="DA134" s="159">
        <f>#REF!+G134-Q134</f>
        <v/>
      </c>
      <c r="DB134" s="159">
        <f>#REF!+H134-R134</f>
        <v/>
      </c>
      <c r="DC134" s="159">
        <f>#REF!+I134-S134</f>
        <v/>
      </c>
      <c r="DD134" s="159">
        <f>#REF!+J134-T134</f>
        <v/>
      </c>
      <c r="DE134" s="51">
        <f>SUM(CV134:DD134)</f>
        <v/>
      </c>
    </row>
    <row r="135" ht="20.25" customFormat="1" customHeight="1" s="3" thickBot="1">
      <c r="A135" s="46" t="n"/>
      <c r="B135" s="160">
        <f>SUM(B134:J134)</f>
        <v/>
      </c>
      <c r="C135" s="136" t="n"/>
      <c r="D135" s="136" t="n"/>
      <c r="E135" s="136" t="n"/>
      <c r="F135" s="136" t="n"/>
      <c r="G135" s="136" t="n"/>
      <c r="H135" s="136" t="n"/>
      <c r="I135" s="136" t="n"/>
      <c r="J135" s="136" t="n"/>
      <c r="K135" s="79" t="n"/>
      <c r="L135" s="160" t="n"/>
      <c r="M135" s="136" t="n"/>
      <c r="N135" s="136" t="n"/>
      <c r="O135" s="136" t="n"/>
      <c r="P135" s="136" t="n"/>
      <c r="Q135" s="136" t="n"/>
      <c r="R135" s="136" t="n"/>
      <c r="S135" s="136" t="n"/>
      <c r="T135" s="136" t="n"/>
      <c r="U135" s="136" t="n"/>
      <c r="V135" s="136" t="n"/>
      <c r="W135" s="136" t="n"/>
      <c r="X135" s="136" t="n"/>
      <c r="Y135" s="136" t="n"/>
      <c r="Z135" s="136" t="n"/>
      <c r="AA135" s="136" t="n"/>
      <c r="AB135" s="136" t="n"/>
      <c r="AC135" s="136" t="n"/>
      <c r="AD135" s="136" t="n"/>
      <c r="AE135" s="136" t="n"/>
      <c r="AF135" s="136" t="n"/>
      <c r="AG135" s="136" t="n"/>
      <c r="AH135" s="136" t="n"/>
      <c r="AI135" s="136" t="n"/>
      <c r="AJ135" s="136" t="n"/>
      <c r="AK135" s="136" t="n"/>
      <c r="AL135" s="136" t="n"/>
      <c r="AM135" s="136" t="n"/>
      <c r="AN135" s="136" t="n"/>
      <c r="AO135" s="136" t="n"/>
      <c r="AP135" s="136" t="n"/>
      <c r="AQ135" s="136" t="n"/>
      <c r="AR135" s="136" t="n"/>
      <c r="AS135" s="136" t="n"/>
      <c r="AT135" s="136" t="n"/>
      <c r="AU135" s="136" t="n"/>
      <c r="AV135" s="136" t="n"/>
      <c r="AW135" s="136" t="n"/>
      <c r="AX135" s="136" t="n"/>
      <c r="AY135" s="136" t="n"/>
      <c r="AZ135" s="136" t="n"/>
      <c r="BA135" s="136" t="n"/>
      <c r="BB135" s="136" t="n"/>
      <c r="BC135" s="136" t="n"/>
      <c r="BD135" s="136" t="n"/>
      <c r="BE135" s="136" t="n"/>
      <c r="BF135" s="136" t="n"/>
      <c r="BG135" s="136" t="n"/>
      <c r="BH135" s="136" t="n"/>
      <c r="BI135" s="136" t="n"/>
      <c r="BJ135" s="136" t="n"/>
      <c r="BK135" s="136" t="n"/>
      <c r="BL135" s="136" t="n"/>
      <c r="BM135" s="136" t="n"/>
      <c r="BN135" s="136" t="n"/>
      <c r="BO135" s="136" t="n"/>
      <c r="BP135" s="136" t="n"/>
      <c r="BQ135" s="136" t="n"/>
      <c r="BR135" s="136" t="n"/>
      <c r="BS135" s="136" t="n"/>
      <c r="BT135" s="136" t="n"/>
      <c r="BU135" s="136" t="n"/>
      <c r="BV135" s="136" t="n"/>
      <c r="BW135" s="136" t="n"/>
      <c r="BX135" s="136" t="n"/>
      <c r="BY135" s="136" t="n"/>
      <c r="BZ135" s="136" t="n"/>
      <c r="CA135" s="136" t="n"/>
      <c r="CB135" s="136" t="n"/>
      <c r="CC135" s="136" t="n"/>
      <c r="CD135" s="136" t="n"/>
      <c r="CE135" s="136" t="n"/>
      <c r="CF135" s="136" t="n"/>
      <c r="CG135" s="136" t="n"/>
      <c r="CH135" s="136" t="n"/>
      <c r="CI135" s="136" t="n"/>
      <c r="CJ135" s="136" t="n"/>
      <c r="CK135" s="136" t="n"/>
      <c r="CL135" s="160" t="n"/>
      <c r="CM135" s="161" t="n"/>
      <c r="CN135" s="161" t="n"/>
      <c r="CO135" s="161" t="n"/>
      <c r="CP135" s="161" t="n"/>
      <c r="CQ135" s="161" t="n"/>
      <c r="CR135" s="161" t="n"/>
      <c r="CS135" s="161" t="n"/>
      <c r="CT135" s="161" t="n"/>
      <c r="CU135" s="161" t="n"/>
      <c r="CV135" s="162">
        <f>SUM(CV134:DD134)</f>
        <v/>
      </c>
      <c r="CW135" s="136" t="n"/>
      <c r="CX135" s="136" t="n"/>
      <c r="CY135" s="136" t="n"/>
      <c r="CZ135" s="136" t="n"/>
      <c r="DA135" s="136" t="n"/>
      <c r="DB135" s="136" t="n"/>
      <c r="DC135" s="136" t="n"/>
      <c r="DD135" s="136" t="n"/>
      <c r="DE135" s="156" t="n"/>
    </row>
    <row r="136" ht="20.25" customHeight="1">
      <c r="A136" s="14" t="n"/>
      <c r="E136" s="7" t="n"/>
      <c r="H136" s="7" t="n"/>
      <c r="J136" s="7" t="n"/>
      <c r="K136" s="7" t="n"/>
      <c r="O136" s="163" t="n"/>
      <c r="R136" s="163" t="n"/>
      <c r="T136" s="163" t="n"/>
      <c r="U136" s="7" t="n"/>
      <c r="X136" s="163" t="n"/>
      <c r="Z136" s="163" t="n"/>
      <c r="AB136" s="7" t="n"/>
      <c r="AC136" s="7" t="n"/>
      <c r="AD136" s="7" t="n"/>
      <c r="AJ136" s="7" t="n"/>
      <c r="AL136" s="7" t="n"/>
      <c r="AM136" s="7" t="n"/>
      <c r="AP136" s="7" t="n"/>
      <c r="AV136" s="7" t="n"/>
      <c r="AX136" s="7" t="n"/>
      <c r="BB136" s="7" t="n"/>
      <c r="BC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163" t="n"/>
      <c r="CP136" s="163" t="n"/>
      <c r="CQ136" s="163" t="n"/>
      <c r="CR136" s="163" t="n"/>
      <c r="CS136" s="163" t="n"/>
      <c r="CT136" s="163" t="n"/>
      <c r="CU136" s="7" t="n"/>
      <c r="CY136" s="7" t="n"/>
      <c r="DB136" s="7" t="n"/>
      <c r="DD136" s="7" t="n"/>
    </row>
    <row r="137" ht="19" customHeight="1">
      <c r="A137" s="8" t="n"/>
      <c r="E137" s="8" t="n"/>
      <c r="H137" s="8" t="n"/>
      <c r="J137" s="8" t="n"/>
      <c r="K137" s="8" t="n"/>
      <c r="O137" s="163" t="n"/>
      <c r="R137" s="163" t="n"/>
      <c r="T137" s="163" t="n"/>
      <c r="U137" s="8" t="n"/>
      <c r="X137" s="163" t="n"/>
      <c r="Z137" s="163" t="n"/>
      <c r="AB137" s="8" t="n"/>
      <c r="AC137" s="8" t="n"/>
      <c r="AD137" s="8" t="n"/>
      <c r="AJ137" s="8" t="n"/>
      <c r="AL137" s="8" t="n"/>
      <c r="AM137" s="8" t="n"/>
      <c r="AP137" s="8" t="n"/>
      <c r="AV137" s="8" t="n"/>
      <c r="AX137" s="8" t="n"/>
      <c r="BB137" s="8" t="n"/>
      <c r="BC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9" t="n"/>
      <c r="CQ137" s="19" t="n"/>
      <c r="CR137" s="19" t="n"/>
      <c r="CS137" s="163" t="n"/>
      <c r="CU137" s="19" t="inlineStr">
        <is>
          <t>可出貨數</t>
        </is>
      </c>
      <c r="CV137" s="164">
        <f>CV134-CV138-CV139</f>
        <v/>
      </c>
      <c r="CW137" s="164">
        <f>CW134-CW138-CW139</f>
        <v/>
      </c>
      <c r="CX137" s="164">
        <f>CX134-CX138-CX139</f>
        <v/>
      </c>
      <c r="CY137" s="164">
        <f>CY134-CY138-CY139</f>
        <v/>
      </c>
      <c r="CZ137" s="164">
        <f>CZ134-CZ138-CZ139</f>
        <v/>
      </c>
      <c r="DA137" s="164">
        <f>DA134-DA138-DA139</f>
        <v/>
      </c>
      <c r="DB137" s="164">
        <f>DB134-DB138-DB139</f>
        <v/>
      </c>
      <c r="DC137" s="164">
        <f>DC134-DC138-DC139</f>
        <v/>
      </c>
      <c r="DD137" s="164">
        <f>DD134-DD138-DD139</f>
        <v/>
      </c>
    </row>
    <row r="138" ht="19" customHeight="1">
      <c r="A138" s="7" t="n"/>
      <c r="E138" s="7" t="n"/>
      <c r="H138" s="7" t="n"/>
      <c r="J138" s="7" t="n"/>
      <c r="K138" s="7" t="n"/>
      <c r="O138" s="163" t="n"/>
      <c r="R138" s="163" t="n"/>
      <c r="T138" s="163" t="n"/>
      <c r="U138" s="7" t="n"/>
      <c r="X138" s="163" t="n"/>
      <c r="AB138" s="7" t="n"/>
      <c r="AC138" s="7" t="n"/>
      <c r="AD138" s="7" t="n"/>
      <c r="AJ138" s="7" t="n"/>
      <c r="AL138" s="7" t="n"/>
      <c r="AM138" s="7" t="n"/>
      <c r="AP138" s="7" t="n"/>
      <c r="AV138" s="7" t="n"/>
      <c r="AX138" s="7" t="n"/>
      <c r="BB138" s="7" t="n"/>
      <c r="BC138" s="7" t="n"/>
      <c r="BK138" s="7" t="n"/>
      <c r="BL138" s="7" t="n"/>
      <c r="BM138" s="7" t="n"/>
      <c r="BN138" s="7" t="n"/>
      <c r="BO138" s="7" t="n"/>
      <c r="BP138" s="7" t="n"/>
      <c r="BQ138" s="7" t="n"/>
      <c r="BR138" s="7" t="n"/>
      <c r="BS138" s="7" t="n"/>
      <c r="BT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163" t="n"/>
      <c r="CQ138" s="19" t="n"/>
      <c r="CR138" s="19" t="n"/>
      <c r="CS138" s="163" t="n"/>
      <c r="CU138" s="19" t="inlineStr">
        <is>
          <t>待驗數</t>
        </is>
      </c>
      <c r="CV138" s="21">
        <f>#REF!</f>
        <v/>
      </c>
      <c r="CW138" s="21">
        <f>#REF!</f>
        <v/>
      </c>
      <c r="CX138" s="21">
        <f>#REF!</f>
        <v/>
      </c>
      <c r="CY138" s="21">
        <f>#REF!</f>
        <v/>
      </c>
      <c r="CZ138" s="21">
        <f>#REF!</f>
        <v/>
      </c>
      <c r="DA138" s="21">
        <f>#REF!</f>
        <v/>
      </c>
      <c r="DB138" s="21">
        <f>#REF!</f>
        <v/>
      </c>
      <c r="DC138" s="21">
        <f>#REF!</f>
        <v/>
      </c>
      <c r="DD138" s="21">
        <f>#REF!</f>
        <v/>
      </c>
    </row>
    <row r="139" ht="19" customHeight="1">
      <c r="A139" s="7" t="n"/>
      <c r="E139" s="7" t="n"/>
      <c r="H139" s="7" t="n"/>
      <c r="J139" s="7" t="n"/>
      <c r="K139" s="7" t="n"/>
      <c r="O139" s="163" t="n"/>
      <c r="R139" s="163" t="n"/>
      <c r="T139" s="163" t="n"/>
      <c r="U139" s="7" t="n"/>
      <c r="X139" s="163" t="n"/>
      <c r="AB139" s="7" t="n"/>
      <c r="AC139" s="7" t="n"/>
      <c r="AD139" s="7" t="n"/>
      <c r="AJ139" s="7" t="n"/>
      <c r="AL139" s="7" t="n"/>
      <c r="AM139" s="7" t="n"/>
      <c r="AP139" s="7" t="n"/>
      <c r="AV139" s="7" t="n"/>
      <c r="AX139" s="7" t="n"/>
      <c r="BB139" s="7" t="n"/>
      <c r="BC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Q139" s="19" t="n"/>
      <c r="CR139" s="19" t="n"/>
      <c r="CS139" s="163" t="n"/>
      <c r="CU139" s="19" t="inlineStr">
        <is>
          <t>隔離品</t>
        </is>
      </c>
      <c r="CV139" s="22">
        <f>#REF!</f>
        <v/>
      </c>
      <c r="CW139" s="22">
        <f>#REF!</f>
        <v/>
      </c>
      <c r="CX139" s="22">
        <f>#REF!</f>
        <v/>
      </c>
      <c r="CY139" s="22">
        <f>#REF!</f>
        <v/>
      </c>
      <c r="CZ139" s="22">
        <f>#REF!</f>
        <v/>
      </c>
      <c r="DA139" s="22">
        <f>#REF!</f>
        <v/>
      </c>
      <c r="DB139" s="22">
        <f>#REF!</f>
        <v/>
      </c>
      <c r="DC139" s="22">
        <f>#REF!</f>
        <v/>
      </c>
      <c r="DD139" s="22">
        <f>#REF!</f>
        <v/>
      </c>
    </row>
    <row r="140">
      <c r="A140" s="7" t="n"/>
      <c r="E140" s="7" t="n"/>
      <c r="H140" s="7" t="n"/>
      <c r="J140" s="7" t="n"/>
      <c r="K140" s="7" t="n"/>
      <c r="O140" s="163" t="n"/>
      <c r="R140" s="163" t="n"/>
      <c r="T140" s="163" t="n"/>
      <c r="U140" s="7" t="n"/>
      <c r="X140" s="163" t="n"/>
      <c r="AB140" s="7" t="n"/>
      <c r="AC140" s="7" t="n"/>
      <c r="AD140" s="7" t="n"/>
      <c r="AJ140" s="7" t="n"/>
      <c r="AL140" s="7" t="n"/>
      <c r="AM140" s="7" t="n"/>
      <c r="AP140" s="7" t="n"/>
      <c r="AV140" s="7" t="n"/>
      <c r="AX140" s="7" t="n"/>
      <c r="BB140" s="7" t="n"/>
      <c r="BC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U140" s="7" t="n"/>
      <c r="CV140" s="23" t="n">
        <v>65</v>
      </c>
      <c r="CW140" s="23" t="n">
        <v>65</v>
      </c>
      <c r="CX140" s="23" t="n">
        <v>65</v>
      </c>
      <c r="CY140" s="23" t="n">
        <v>65</v>
      </c>
      <c r="CZ140" s="23" t="n">
        <v>65</v>
      </c>
      <c r="DA140" s="23" t="n">
        <v>65</v>
      </c>
      <c r="DB140" s="23" t="n">
        <v>65</v>
      </c>
      <c r="DC140" s="23" t="n">
        <v>65</v>
      </c>
      <c r="DD140" s="23" t="n">
        <v>67</v>
      </c>
      <c r="DH140" s="165" t="n"/>
      <c r="DI140" s="165" t="n"/>
      <c r="DJ140" s="165" t="n"/>
      <c r="DK140" s="165" t="n"/>
      <c r="DL140" s="165" t="n"/>
      <c r="DM140" s="165" t="n"/>
      <c r="DN140" s="165" t="n"/>
    </row>
    <row r="141">
      <c r="A141" s="7" t="n"/>
      <c r="E141" s="7" t="n"/>
      <c r="H141" s="7" t="n"/>
      <c r="J141" s="7" t="n"/>
      <c r="K141" s="7" t="n"/>
      <c r="O141" s="163" t="n"/>
      <c r="R141" s="163" t="n"/>
      <c r="T141" s="163" t="n"/>
      <c r="U141" s="7" t="n"/>
      <c r="X141" s="163" t="n"/>
      <c r="AB141" s="7" t="n"/>
      <c r="AC141" s="7" t="n"/>
      <c r="AD141" s="7" t="n"/>
      <c r="AJ141" s="7" t="n"/>
      <c r="AL141" s="7" t="n"/>
      <c r="AM141" s="7" t="n"/>
      <c r="AP141" s="7" t="n"/>
      <c r="AV141" s="7" t="n"/>
      <c r="AX141" s="7" t="n"/>
      <c r="BB141" s="7" t="n"/>
      <c r="BC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  <c r="CD141" s="7" t="n"/>
      <c r="CE141" s="7" t="n"/>
      <c r="CF141" s="7" t="n"/>
      <c r="CG141" s="7" t="n"/>
      <c r="CH141" s="7" t="n"/>
      <c r="CI141" s="7" t="n"/>
      <c r="CJ141" s="7" t="n"/>
      <c r="CK141" s="7" t="n"/>
      <c r="CL141" s="7" t="n"/>
      <c r="CM141" s="7" t="n"/>
      <c r="CN141" s="7" t="n"/>
      <c r="CU141" s="7" t="n"/>
      <c r="CV141" s="166">
        <f>ROUNDUP(CV134/CV140,)</f>
        <v/>
      </c>
      <c r="CW141" s="166">
        <f>ROUNDUP(CW134/CW140,)</f>
        <v/>
      </c>
      <c r="CX141" s="166">
        <f>ROUNDUP(CX134/CX140,)</f>
        <v/>
      </c>
      <c r="CY141" s="166">
        <f>ROUNDUP(CY134/CY140,)</f>
        <v/>
      </c>
      <c r="CZ141" s="166">
        <f>ROUNDUP(CZ134/CZ140,)</f>
        <v/>
      </c>
      <c r="DA141" s="166">
        <f>ROUNDUP(DA134/DA140,)</f>
        <v/>
      </c>
      <c r="DB141" s="166">
        <f>ROUNDUP(DB134/DB140,)</f>
        <v/>
      </c>
      <c r="DC141" s="166">
        <f>ROUNDUP(DC134/DC140,)</f>
        <v/>
      </c>
      <c r="DD141" s="166">
        <f>ROUNDUP(DD134/DD140,)</f>
        <v/>
      </c>
    </row>
    <row r="142" ht="19" customHeight="1" thickBot="1">
      <c r="A142" s="7" t="n"/>
      <c r="E142" s="7" t="n"/>
      <c r="H142" s="7" t="n"/>
      <c r="J142" s="7" t="n"/>
      <c r="K142" s="7" t="n"/>
      <c r="O142" s="163" t="n"/>
      <c r="R142" s="163" t="n"/>
      <c r="T142" s="163" t="n"/>
      <c r="U142" s="7" t="n"/>
      <c r="X142" s="163" t="n"/>
      <c r="Z142" s="163" t="n"/>
      <c r="AB142" s="7" t="n"/>
      <c r="AC142" s="7" t="n"/>
      <c r="AD142" s="7" t="n"/>
      <c r="AJ142" s="7" t="n"/>
      <c r="AL142" s="7" t="n"/>
      <c r="AM142" s="7" t="n"/>
      <c r="AP142" s="7" t="n"/>
      <c r="AV142" s="7" t="n"/>
      <c r="AX142" s="7" t="n"/>
      <c r="BB142" s="7" t="n"/>
      <c r="BC142" s="7" t="n"/>
      <c r="BK142" s="7" t="n"/>
      <c r="BL142" s="7" t="n"/>
      <c r="BM142" s="7" t="n"/>
      <c r="BN142" s="7" t="n"/>
      <c r="BO142" s="7" t="n"/>
      <c r="BP142" s="7" t="n"/>
      <c r="BQ142" s="7" t="n"/>
      <c r="BR142" s="7" t="n"/>
      <c r="BS142" s="7" t="n"/>
      <c r="BT142" s="7" t="n"/>
      <c r="BU142" s="7" t="n"/>
      <c r="BV142" s="7" t="n"/>
      <c r="BW142" s="7" t="n"/>
      <c r="BX142" s="7" t="n"/>
      <c r="BY142" s="7" t="n"/>
      <c r="BZ142" s="7" t="n"/>
      <c r="CA142" s="7" t="n"/>
      <c r="CB142" s="7" t="n"/>
      <c r="CC142" s="7" t="n"/>
      <c r="CD142" s="7" t="n"/>
      <c r="CE142" s="7" t="n"/>
      <c r="CF142" s="7" t="n"/>
      <c r="CG142" s="7" t="n"/>
      <c r="CH142" s="7" t="n"/>
      <c r="CI142" s="7" t="n"/>
      <c r="CJ142" s="7" t="n"/>
      <c r="CK142" s="7" t="n"/>
      <c r="CL142" s="7" t="n"/>
      <c r="CM142" s="7" t="n"/>
      <c r="CN142" s="7" t="n"/>
      <c r="CU142" s="7" t="n"/>
      <c r="CY142" s="13" t="n"/>
      <c r="DB142" s="13" t="n"/>
      <c r="DD142" s="13" t="n"/>
    </row>
    <row r="143" ht="22" customHeight="1">
      <c r="A143" s="7" t="n"/>
      <c r="E143" s="7" t="n"/>
      <c r="H143" s="7" t="n"/>
      <c r="J143" s="7" t="n"/>
      <c r="K143" s="7" t="n"/>
      <c r="O143" s="163" t="n"/>
      <c r="R143" s="163" t="n"/>
      <c r="T143" s="163" t="n"/>
      <c r="U143" s="7" t="n"/>
      <c r="X143" s="163" t="n"/>
      <c r="Z143" s="163" t="n"/>
      <c r="AB143" s="7" t="n"/>
      <c r="AC143" s="7" t="n"/>
      <c r="AD143" s="7" t="n"/>
      <c r="AJ143" s="7" t="n"/>
      <c r="AL143" s="7" t="n"/>
      <c r="AM143" s="7" t="n"/>
      <c r="AP143" s="7" t="n"/>
      <c r="AV143" s="7" t="n"/>
      <c r="AX143" s="7" t="n"/>
      <c r="BB143" s="7" t="n"/>
      <c r="BC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/>
      <c r="CH143" s="7" t="n"/>
      <c r="CI143" s="7" t="n"/>
      <c r="CJ143" s="7" t="n"/>
      <c r="CK143" s="7" t="n"/>
      <c r="CL143" s="7" t="n"/>
      <c r="CM143" s="7" t="n"/>
      <c r="CN143" s="7" t="n"/>
      <c r="CP143" s="163" t="n"/>
      <c r="CU143" s="7" t="n"/>
      <c r="CY143" s="7" t="n"/>
      <c r="DB143" s="7" t="n"/>
      <c r="DD143" s="25" t="n"/>
      <c r="DF143" s="105" t="inlineStr">
        <is>
          <t>棧板使用量</t>
        </is>
      </c>
      <c r="DG143" s="167" t="n"/>
      <c r="DH143" s="40" t="inlineStr">
        <is>
          <t>捷盟</t>
        </is>
      </c>
      <c r="DI143" s="41" t="inlineStr">
        <is>
          <t>全台</t>
        </is>
      </c>
      <c r="DJ143" s="42" t="inlineStr">
        <is>
          <t>PX11</t>
        </is>
      </c>
      <c r="DK143" s="43" t="inlineStr">
        <is>
          <t>市塑</t>
        </is>
      </c>
      <c r="DL143" s="75" t="inlineStr">
        <is>
          <t>家福</t>
        </is>
      </c>
      <c r="DM143" s="84" t="inlineStr">
        <is>
          <t>路凱</t>
        </is>
      </c>
      <c r="DN143" s="85" t="inlineStr">
        <is>
          <t>COSTCO</t>
        </is>
      </c>
    </row>
    <row r="144">
      <c r="DD144" s="18" t="n"/>
      <c r="DF144" s="107" t="inlineStr">
        <is>
          <t>成品使用棧板數</t>
        </is>
      </c>
      <c r="DG144" s="168" t="n"/>
      <c r="DH144" s="169">
        <f>SUM(CV134+CW134+CX134+#REF!)/65+SUM(#REF!)/44+SUM(#REF!+#REF!+#REF!+#REF!+#REF!+#REF!+#REF!+#REF!+#REF!+#REF!)/45+SUM(#REF!+#REF!+#REF!+#REF!)/60</f>
        <v/>
      </c>
      <c r="DI144" s="169">
        <f>SUM(CY134+CZ134+DA134+#REF!+#REF!+#REF!+#REF!)/65+SUM(#REF!)/44+SUM(#REF!+#REF!+#REF!+#REF!+#REF!+#REF!+#REF!+#REF!+#REF!+#REF!+#REF!+#REF!+#REF!+#REF!+#REF!)/45+SUM(#REF!+#REF!+#REF!+#REF!+#REF!+#REF!+#REF!)/60+SUM(#REF!+#REF!)/50</f>
        <v/>
      </c>
      <c r="DJ144" s="169">
        <f>SUM(DB134+DC134+#REF!+#REF!+#REF!)/65+SUM(#REF!)/36+SUM(#REF!+#REF!+#REF!+#REF!+#REF!)/40+SUM(#REF!+#REF!+#REF!+#REF!)/60</f>
        <v/>
      </c>
      <c r="DK144" s="169">
        <f>SUM(#REF!+#REF!)/44</f>
        <v/>
      </c>
      <c r="DL144" s="169">
        <f>SUM(DD134)/65+SUM(#REF!+#REF!)/40+SUM(#REF!+#REF!)/54</f>
        <v/>
      </c>
      <c r="DM144" s="169">
        <f>SUM(#REF!+#REF!)/45</f>
        <v/>
      </c>
      <c r="DN144" s="170">
        <f>SUM(#REF!)/75+SUM(#REF!)/60</f>
        <v/>
      </c>
      <c r="DO144" s="163">
        <f>SUM(DH144:DN144)</f>
        <v/>
      </c>
    </row>
    <row r="145">
      <c r="DF145" s="97" t="inlineStr">
        <is>
          <t>不良板</t>
        </is>
      </c>
      <c r="DG145" s="168" t="n"/>
      <c r="DH145" s="152" t="n">
        <v>30</v>
      </c>
      <c r="DI145" s="152" t="n">
        <v>107</v>
      </c>
      <c r="DJ145" s="152" t="n">
        <v>0</v>
      </c>
      <c r="DK145" s="152" t="n">
        <v>0</v>
      </c>
      <c r="DL145" s="152" t="n">
        <v>0</v>
      </c>
      <c r="DM145" s="152" t="n">
        <v>0</v>
      </c>
      <c r="DN145" s="171" t="n">
        <v>0</v>
      </c>
    </row>
    <row r="146" ht="19" customHeight="1" thickBot="1">
      <c r="DF146" s="99" t="inlineStr">
        <is>
          <t>廠內空板數(約)</t>
        </is>
      </c>
      <c r="DG146" s="172" t="n"/>
      <c r="DH146" s="173">
        <f>#REF!-DH144-DH145</f>
        <v/>
      </c>
      <c r="DI146" s="173">
        <f>#REF!-DI144-DI145</f>
        <v/>
      </c>
      <c r="DJ146" s="173">
        <f>#REF!-DJ144-DJ145</f>
        <v/>
      </c>
      <c r="DK146" s="173">
        <f>#REF!-DK144-DK145</f>
        <v/>
      </c>
      <c r="DL146" s="173">
        <f>#REF!-DL144-DL145</f>
        <v/>
      </c>
      <c r="DM146" s="173">
        <f>#REF!-DM144-DM145</f>
        <v/>
      </c>
      <c r="DN146" s="174">
        <f>#REF!-DN144-DN145</f>
        <v/>
      </c>
    </row>
    <row r="147">
      <c r="DH147" s="165" t="n"/>
    </row>
  </sheetData>
  <mergeCells count="21">
    <mergeCell ref="CV135:DD135"/>
    <mergeCell ref="CP5:CP6"/>
    <mergeCell ref="L3:CU3"/>
    <mergeCell ref="L135:CK135"/>
    <mergeCell ref="CR5:CR6"/>
    <mergeCell ref="DF143:DG143"/>
    <mergeCell ref="CT5:CT6"/>
    <mergeCell ref="K4:K6"/>
    <mergeCell ref="A3:A4"/>
    <mergeCell ref="CS5:CS6"/>
    <mergeCell ref="A1:DD1"/>
    <mergeCell ref="CQ5:CQ6"/>
    <mergeCell ref="DF146:DG146"/>
    <mergeCell ref="B135:J135"/>
    <mergeCell ref="B3:J3"/>
    <mergeCell ref="A2:DD2"/>
    <mergeCell ref="DF145:DG145"/>
    <mergeCell ref="CV3:DD3"/>
    <mergeCell ref="CU5:CU6"/>
    <mergeCell ref="CO5:CO6"/>
    <mergeCell ref="DF144:DG144"/>
  </mergeCells>
  <printOptions horizontalCentered="1" verticalCentered="1"/>
  <pageMargins left="0.2362204724409449" right="0.2362204724409449" top="0.2362204724409449" bottom="0.2362204724409449" header="0.3149606299212598" footer="0.3149606299212598"/>
  <pageSetup orientation="landscape" paperSize="9" scale="6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宏全無菌飲料三廠-顏苡恩 助專</dc:creator>
  <dcterms:created xmlns:dcterms="http://purl.org/dc/terms/" xmlns:xsi="http://www.w3.org/2001/XMLSchema-instance" xsi:type="dcterms:W3CDTF">2009-06-18T00:33:14Z</dcterms:created>
  <dcterms:modified xmlns:dcterms="http://purl.org/dc/terms/" xmlns:xsi="http://www.w3.org/2001/XMLSchema-instance" xsi:type="dcterms:W3CDTF">2026-05-22T03:02:07Z</dcterms:modified>
  <cp:lastModifiedBy>Microsoft Office User</cp:lastModifiedBy>
  <cp:lastPrinted>2025-11-14T06:05:21Z</cp:lastPrinted>
</cp:coreProperties>
</file>